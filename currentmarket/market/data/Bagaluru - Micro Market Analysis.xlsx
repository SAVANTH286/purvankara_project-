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uravankara.sharepoint.com/sites/PHL-CEOsOffice/Shared Documents/CEO Office/BIS - Growth Strategy/3. Adhoc/For Gopi - Micro Market/"/>
    </mc:Choice>
  </mc:AlternateContent>
  <xr:revisionPtr revIDLastSave="111" documentId="11_EDEF26DE5F08341CFF551CB3D18D9E531BA67E8C" xr6:coauthVersionLast="47" xr6:coauthVersionMax="47" xr10:uidLastSave="{4FDD3D1E-9E92-4BA9-B7F2-264F245224C1}"/>
  <bookViews>
    <workbookView xWindow="-110" yWindow="-110" windowWidth="19420" windowHeight="10300" tabRatio="844" xr2:uid="{00000000-000D-0000-FFFF-FFFF00000000}"/>
  </bookViews>
  <sheets>
    <sheet name="Summary - Bagaluru" sheetId="3" r:id="rId1"/>
    <sheet name="Projects List" sheetId="12" r:id="rId2"/>
    <sheet name="Productwise Supply" sheetId="2" r:id="rId3"/>
    <sheet name="Productwise Supply &amp; Absorption" sheetId="5" r:id="rId4"/>
    <sheet name="Weighted Avg Price Trend" sheetId="6" r:id="rId5"/>
    <sheet name="New Launch Data" sheetId="7" r:id="rId6"/>
    <sheet name="Inventory Trend" sheetId="8" r:id="rId7"/>
    <sheet name="Micro Market Supply &amp; Absorptio" sheetId="9" r:id="rId8"/>
    <sheet name="Absorption Break-up" sheetId="10" r:id="rId9"/>
    <sheet name="Micro Market Wt Avg Price Trend" sheetId="11" r:id="rId10"/>
    <sheet name="Cumulative Supply &amp; Absorption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2" l="1"/>
  <c r="M1" i="12"/>
</calcChain>
</file>

<file path=xl/sharedStrings.xml><?xml version="1.0" encoding="utf-8"?>
<sst xmlns="http://schemas.openxmlformats.org/spreadsheetml/2006/main" count="549" uniqueCount="219">
  <si>
    <t>Period</t>
  </si>
  <si>
    <t xml:space="preserve"> Apartment Cmplx (Units)</t>
  </si>
  <si>
    <t xml:space="preserve"> Row House/Villas (Units)</t>
  </si>
  <si>
    <t xml:space="preserve"> Plots (Units)</t>
  </si>
  <si>
    <t>Total</t>
  </si>
  <si>
    <t>Supply (Units)</t>
  </si>
  <si>
    <t>Absorption (Units)</t>
  </si>
  <si>
    <t>Available Supply (Units)</t>
  </si>
  <si>
    <t>Cumulative Supply (Units)</t>
  </si>
  <si>
    <t>Cumulative Absorption (Units)</t>
  </si>
  <si>
    <t>Cumulative Availability (Units)</t>
  </si>
  <si>
    <t>Total (Units)</t>
  </si>
  <si>
    <t>Supply</t>
  </si>
  <si>
    <t>Absorption</t>
  </si>
  <si>
    <t>Availability</t>
  </si>
  <si>
    <t xml:space="preserve">Availability	</t>
  </si>
  <si>
    <t>Wt. Avg. Price NewLaunch (/Sqft)</t>
  </si>
  <si>
    <t>Wt. Avg. Price Absorbed (/Sqft)</t>
  </si>
  <si>
    <t>Wt. Avg. Price Available Units (/Sqft)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</si>
  <si>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</si>
  <si>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</si>
  <si>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</si>
  <si>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</si>
  <si>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</si>
  <si>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</si>
  <si>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</si>
  <si>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</si>
  <si>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</si>
  <si>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</si>
  <si>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</si>
  <si>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</si>
  <si>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No. of Projects Launched</t>
  </si>
  <si>
    <t>No. of Units</t>
  </si>
  <si>
    <t>Wt. Min Price (/Sqft)</t>
  </si>
  <si>
    <t>Wt. Avg. Price (/Sqft)</t>
  </si>
  <si>
    <t>Wt. Max Price (/Sqft)</t>
  </si>
  <si>
    <t>Absorbed Units</t>
  </si>
  <si>
    <t>Absorbed (Units)</t>
  </si>
  <si>
    <t>Unsold (Units)</t>
  </si>
  <si>
    <t>Inventory Overhang (Months)</t>
  </si>
  <si>
    <t>Region</t>
  </si>
  <si>
    <t>Q4-2022</t>
  </si>
  <si>
    <t>NorthEast Region</t>
  </si>
  <si>
    <t>&lt;4000</t>
  </si>
  <si>
    <t>4001-5000</t>
  </si>
  <si>
    <t>5001-6000</t>
  </si>
  <si>
    <t>6001-7000</t>
  </si>
  <si>
    <t>7001-8000</t>
  </si>
  <si>
    <t>8001-9000</t>
  </si>
  <si>
    <t>9001-10000</t>
  </si>
  <si>
    <t>10001-11000</t>
  </si>
  <si>
    <t>11001-12000</t>
  </si>
  <si>
    <t>&gt;12000</t>
  </si>
  <si>
    <t>Project Name</t>
  </si>
  <si>
    <t>Phase</t>
  </si>
  <si>
    <t>Developer</t>
  </si>
  <si>
    <t>IsBuilderDistress</t>
  </si>
  <si>
    <t>Location</t>
  </si>
  <si>
    <t>Region Name</t>
  </si>
  <si>
    <t>Micro Market</t>
  </si>
  <si>
    <t>Project Type</t>
  </si>
  <si>
    <t>Project Sub Type</t>
  </si>
  <si>
    <t>PropertySegment</t>
  </si>
  <si>
    <t>Launched Sqft</t>
  </si>
  <si>
    <t>Launched Units</t>
  </si>
  <si>
    <t>Unit Size-SqftMin</t>
  </si>
  <si>
    <t>Unit Size-SqftMax</t>
  </si>
  <si>
    <t>Bed Room Min</t>
  </si>
  <si>
    <t>Bed Room Max</t>
  </si>
  <si>
    <t>New Launch Price</t>
  </si>
  <si>
    <t>Sale-RS/SqftMin</t>
  </si>
  <si>
    <t>Sale-RS/SqftMax</t>
  </si>
  <si>
    <t>Resale-RS/SqftMin</t>
  </si>
  <si>
    <t>Resale-RS/SqftMax</t>
  </si>
  <si>
    <t>LQPrice-RS/SqftMin</t>
  </si>
  <si>
    <t>LQPrice-RS/SqftMax</t>
  </si>
  <si>
    <t>%Sold</t>
  </si>
  <si>
    <t>AbsorbedUnits</t>
  </si>
  <si>
    <t>CRM_Price</t>
  </si>
  <si>
    <t>CRM_Price_AsOn</t>
  </si>
  <si>
    <t>CRM_Price_BasedOn</t>
  </si>
  <si>
    <t>REG_Price</t>
  </si>
  <si>
    <t>REG_Price_AsOn</t>
  </si>
  <si>
    <t>REG_noOfTransactions</t>
  </si>
  <si>
    <t>REG_TotalArea</t>
  </si>
  <si>
    <t>REG_TotalValue</t>
  </si>
  <si>
    <t>Info Date</t>
  </si>
  <si>
    <t>Current Status</t>
  </si>
  <si>
    <t>Total Proj Sqft</t>
  </si>
  <si>
    <t>Launch Date</t>
  </si>
  <si>
    <t>Completion Date</t>
  </si>
  <si>
    <t>DelayMonths</t>
  </si>
  <si>
    <t>Total Units</t>
  </si>
  <si>
    <t>PriceBasedOn</t>
  </si>
  <si>
    <t>Construction Stage</t>
  </si>
  <si>
    <t>Price Inclusive</t>
  </si>
  <si>
    <t>DelayMonths1</t>
  </si>
  <si>
    <t>ReraCertificateNo</t>
  </si>
  <si>
    <t>RERARegistryDate</t>
  </si>
  <si>
    <t>Adarsh Palm Acres III</t>
  </si>
  <si>
    <t>-</t>
  </si>
  <si>
    <t>Adarsh Developers</t>
  </si>
  <si>
    <t>N</t>
  </si>
  <si>
    <t>Bengaluru</t>
  </si>
  <si>
    <t>Bagaluru</t>
  </si>
  <si>
    <t>Residential</t>
  </si>
  <si>
    <t>Row House/Villas</t>
  </si>
  <si>
    <t>Luxury</t>
  </si>
  <si>
    <t>17285</t>
  </si>
  <si>
    <t>0</t>
  </si>
  <si>
    <t>01-Nov-2025</t>
  </si>
  <si>
    <t>Available</t>
  </si>
  <si>
    <t>01-Nov-2029</t>
  </si>
  <si>
    <t>Builtup</t>
  </si>
  <si>
    <t>Under Construction</t>
  </si>
  <si>
    <t xml:space="preserve"> PRM/KA/RERA/1251/309/PR/181025/008181</t>
  </si>
  <si>
    <t>Oct-2025</t>
  </si>
  <si>
    <t>Aurum at Brigade El Dorado</t>
  </si>
  <si>
    <t>Brigade Group</t>
  </si>
  <si>
    <t>Apartment Cmplx</t>
  </si>
  <si>
    <t>Mid</t>
  </si>
  <si>
    <t>Sold</t>
  </si>
  <si>
    <t>01-Jul-2023</t>
  </si>
  <si>
    <t>01-Dec-2028</t>
  </si>
  <si>
    <t>12</t>
  </si>
  <si>
    <t>Excavation &amp; Plinth Stage</t>
  </si>
  <si>
    <t xml:space="preserve"> PRM/KA/RERA/1250/303/PR/230623/006018</t>
  </si>
  <si>
    <t>Jun-2023</t>
  </si>
  <si>
    <t>Brigade El Dorado ( Diora ,Cobalt  &amp; Beryl) (Diora)</t>
  </si>
  <si>
    <t>1</t>
  </si>
  <si>
    <t>01-Feb-2024</t>
  </si>
  <si>
    <t>Pillar &amp; Slabs (Slab GF completed)</t>
  </si>
  <si>
    <t>CarParking,Club House,Infra &amp;amp; Dev. Charges</t>
  </si>
  <si>
    <t xml:space="preserve"> PRM/KA/RERA/1251/309/PR/160224/006634</t>
  </si>
  <si>
    <t>Feb-2024</t>
  </si>
  <si>
    <t>Brigade El Dorado ( Diora ,Cobalt  &amp; Beryl) (Cobalt )</t>
  </si>
  <si>
    <t>2</t>
  </si>
  <si>
    <t>01-May-2024</t>
  </si>
  <si>
    <t>01-Jun-2029</t>
  </si>
  <si>
    <t xml:space="preserve"> PRM/KA/RERA/1251/309/PR/160524/006878</t>
  </si>
  <si>
    <t>May-2024</t>
  </si>
  <si>
    <t>Brigade El Dorado ( Diora ,Cobalt  &amp; Beryl) (Beryl)</t>
  </si>
  <si>
    <t>3</t>
  </si>
  <si>
    <t>01-Aug-2024</t>
  </si>
  <si>
    <t>Ready Possession</t>
  </si>
  <si>
    <t xml:space="preserve"> PRM/KA/RERA/1251/309/PR/190722/005089</t>
  </si>
  <si>
    <t>Jul-2022</t>
  </si>
  <si>
    <t>Emerald &amp; Luminaire At Brigade El Dorado (Luminaire )</t>
  </si>
  <si>
    <t>01-Jan-2023</t>
  </si>
  <si>
    <t>01-Mar-2026</t>
  </si>
  <si>
    <t>Finishing</t>
  </si>
  <si>
    <t>Godrej Ananda III (Soul) (Tower H,J, K &amp; N)</t>
  </si>
  <si>
    <t>Godrej Properties</t>
  </si>
  <si>
    <t>8050</t>
  </si>
  <si>
    <t>8750</t>
  </si>
  <si>
    <t>01-Nov-2023</t>
  </si>
  <si>
    <t>01-Dec-2027</t>
  </si>
  <si>
    <t>9</t>
  </si>
  <si>
    <t>Interior Work</t>
  </si>
  <si>
    <t xml:space="preserve"> PRM/KA/RERA/1251/309/PR/161023/006323</t>
  </si>
  <si>
    <t>Oct-2023</t>
  </si>
  <si>
    <t>Godrej Ananda III (Soul) (Tower P)</t>
  </si>
  <si>
    <t>Godrej Ananda III (Soul) (Tower M)</t>
  </si>
  <si>
    <t>01-Jan-2024</t>
  </si>
  <si>
    <t>Godrej Ananda III (Soul) (Tower L )</t>
  </si>
  <si>
    <t>4</t>
  </si>
  <si>
    <t>Kalyani Living Tree (Tower 1,2,5 &amp; 6)</t>
  </si>
  <si>
    <t>Kalyani Developers</t>
  </si>
  <si>
    <t>7700</t>
  </si>
  <si>
    <t>01-Oct-2024</t>
  </si>
  <si>
    <t>01-Sep-2029</t>
  </si>
  <si>
    <t xml:space="preserve"> PRM/KA/RERA/1251/309/PR/260924/007084</t>
  </si>
  <si>
    <t>Sep-2024</t>
  </si>
  <si>
    <t>Kalyani Living Tree (Tower 3 &amp; 4)</t>
  </si>
  <si>
    <t>01-Aug-2025</t>
  </si>
  <si>
    <t>Kumar Plumeria</t>
  </si>
  <si>
    <t>Kumar Properties</t>
  </si>
  <si>
    <t>10500</t>
  </si>
  <si>
    <t>01-Mar-2025</t>
  </si>
  <si>
    <t xml:space="preserve"> PRM/KA/RERA/1251/309/PR/210125/007402</t>
  </si>
  <si>
    <t>Jan-2025</t>
  </si>
  <si>
    <t>North Park</t>
  </si>
  <si>
    <t>MJR Builders</t>
  </si>
  <si>
    <t>8150</t>
  </si>
  <si>
    <t>01-Jul-2027</t>
  </si>
  <si>
    <t>19</t>
  </si>
  <si>
    <t>Pillar &amp; Slabs (Slab 11 completed)</t>
  </si>
  <si>
    <t xml:space="preserve"> PRM/KA/RERA/1251/472/PR/050224/006611</t>
  </si>
  <si>
    <t>NVG Rakshak</t>
  </si>
  <si>
    <t>Nvg Projects</t>
  </si>
  <si>
    <t>8090</t>
  </si>
  <si>
    <t>Pillar &amp; Slabs (Slab 1 completed)</t>
  </si>
  <si>
    <t xml:space="preserve"> PRM/KA/RERA/1251/472/PR/091024/007138</t>
  </si>
  <si>
    <t>Oct-2024</t>
  </si>
  <si>
    <t>Provident Ecopolitan</t>
  </si>
  <si>
    <t>Puravankara &amp; Provident Housing</t>
  </si>
  <si>
    <t>8400</t>
  </si>
  <si>
    <t>9000</t>
  </si>
  <si>
    <t>01-Sep-2027</t>
  </si>
  <si>
    <t>Pillar &amp; Slabs (Slab 6 completed)</t>
  </si>
  <si>
    <t>,CarParking,Club House,Infra &amp;amp; Dev. Charges</t>
  </si>
  <si>
    <t>Provident Ecopolitan V</t>
  </si>
  <si>
    <t>9400</t>
  </si>
  <si>
    <t>10390</t>
  </si>
  <si>
    <t>01-Dec-2024</t>
  </si>
  <si>
    <t>01-Apr-2029</t>
  </si>
  <si>
    <t xml:space="preserve"> PRM/KA/RERA/1251/309/PR/311224/007334</t>
  </si>
  <si>
    <t>Dec-2024</t>
  </si>
  <si>
    <t>Sri Sai Dev Enclave Phase I</t>
  </si>
  <si>
    <t>Sri Sai Dev Enclave</t>
  </si>
  <si>
    <t>Plots</t>
  </si>
  <si>
    <t>3950</t>
  </si>
  <si>
    <t>01-May-2025</t>
  </si>
  <si>
    <t>5</t>
  </si>
  <si>
    <t xml:space="preserve"> PRM/KA/RERA/1250/303/PR/220223/005741</t>
  </si>
  <si>
    <t>Feb-2023</t>
  </si>
  <si>
    <t>Note:- This file may contain previous phases of a project as well, if that project is in multiple phases and 1 or more phase(s) is a part of your selection.</t>
  </si>
  <si>
    <t xml:space="preserve">       * Price shown on Wt. Avg. Price of the Market.</t>
  </si>
  <si>
    <t>Project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</si>
</sst>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m\-yyyy"/>
  </numFmts>
  <fonts count="4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36895"/>
        <bgColor rgb="FF536895"/>
      </patternFill>
    </fill>
    <fill>
      <patternFill patternType="solid">
        <fgColor rgb="FF4F81BD"/>
        <bgColor rgb="FF4F81BD"/>
      </patternFill>
    </fill>
    <fill>
      <patternFill patternType="solid">
        <fgColor rgb="FFF6F5DE"/>
        <bgColor rgb="FFF6F5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Border="0" applyAlignment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3" fillId="4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3" fontId="0" fillId="0" borderId="0" xfId="1" applyFont="1" applyAlignment="1">
      <alignment vertical="center"/>
    </xf>
  </cellXfs>
  <cellStyles count="2">
    <cellStyle name="Comma" xfId="1" builtinId="3"/>
    <cellStyle name="Normal" xfId="0" builtinId="0"/>
  </cellStyles>
  <dxfs count="48">
    <dxf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</xdr:row>
      <xdr:rowOff>0</xdr:rowOff>
    </xdr:from>
    <xdr:to>
      <xdr:col>24</xdr:col>
      <xdr:colOff>67151</xdr:colOff>
      <xdr:row>23</xdr:row>
      <xdr:rowOff>136072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5BF2B2-2381-1E27-38CB-23EE208B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36" y="181429"/>
          <a:ext cx="14001772" cy="4127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8207C-DC81-4A79-A43F-345163C880F0}" name="Table1" displayName="Table1" ref="B2:AU20" totalsRowShown="0" headerRowDxfId="0" dataDxfId="1">
  <autoFilter ref="B2:AU20" xr:uid="{FC38207C-DC81-4A79-A43F-345163C880F0}"/>
  <tableColumns count="46">
    <tableColumn id="1" xr3:uid="{5C5AFF16-6920-4D36-9F58-C1E3BEFF62C1}" name="Project Name" dataDxfId="47"/>
    <tableColumn id="2" xr3:uid="{BBE1C794-3DFE-494F-B8BB-EDD877E9F66E}" name="Phase" dataDxfId="46"/>
    <tableColumn id="3" xr3:uid="{82C26D8F-CB4B-40D9-B4C7-31ED9FEA94D2}" name="Developer" dataDxfId="45"/>
    <tableColumn id="4" xr3:uid="{A32052A2-B70E-4D2B-9C0F-BF34491317EE}" name="IsBuilderDistress" dataDxfId="44"/>
    <tableColumn id="5" xr3:uid="{EC5ED1CA-B3F3-46BB-907B-FA9FC2D0F53A}" name="Location" dataDxfId="43"/>
    <tableColumn id="6" xr3:uid="{5C40730D-59CD-406E-BD04-D5C4EF37E0BC}" name="Region Name" dataDxfId="42"/>
    <tableColumn id="7" xr3:uid="{ED5893A2-D190-4752-AF7C-23CBA5F02F0D}" name="Micro Market" dataDxfId="41"/>
    <tableColumn id="8" xr3:uid="{2D7954CE-C608-42E1-AA91-6EB26AA11385}" name="Project Type" dataDxfId="40"/>
    <tableColumn id="9" xr3:uid="{DFD67B4F-054E-4A8C-B522-AEA150DC211E}" name="Project Sub Type" dataDxfId="39"/>
    <tableColumn id="10" xr3:uid="{FA7C2871-8CEF-4DEC-826B-DB4DEBE4876B}" name="PropertySegment" dataDxfId="38"/>
    <tableColumn id="11" xr3:uid="{1C68318F-856B-441F-86FC-A8DBC4A9E8AF}" name="Launched Sqft" dataDxfId="37"/>
    <tableColumn id="12" xr3:uid="{E677EAB2-EFFD-48DC-BF35-91AB7740DDC8}" name="Launched Units" dataDxfId="36"/>
    <tableColumn id="13" xr3:uid="{F357F55A-8ADE-4AA0-8BEC-F92F0D21513C}" name="Unit Size-SqftMin" dataDxfId="35"/>
    <tableColumn id="14" xr3:uid="{91CEBFDE-4719-42CC-A125-9554889ABE70}" name="Unit Size-SqftMax" dataDxfId="34"/>
    <tableColumn id="15" xr3:uid="{CEC1057A-E576-401C-88DB-E8CF6A6C637C}" name="Bed Room Min" dataDxfId="33"/>
    <tableColumn id="16" xr3:uid="{2EDEACA9-173B-4F62-9ECC-60EBB7096284}" name="Bed Room Max" dataDxfId="32"/>
    <tableColumn id="17" xr3:uid="{37C7827D-B5F6-4476-9DCD-1C4923E726FB}" name="New Launch Price" dataDxfId="31"/>
    <tableColumn id="18" xr3:uid="{DB1876CB-853B-400D-98EE-98D46D79F7AB}" name="Sale-RS/SqftMin" dataDxfId="30"/>
    <tableColumn id="19" xr3:uid="{41BF6EDB-112D-4565-A57F-1738092A5485}" name="Sale-RS/SqftMax" dataDxfId="29"/>
    <tableColumn id="20" xr3:uid="{3BE9D2F1-3460-4AEF-B545-FA8F48211C55}" name="Resale-RS/SqftMin" dataDxfId="28"/>
    <tableColumn id="21" xr3:uid="{A163F94F-1143-486A-BFBA-7890E98B2A93}" name="Resale-RS/SqftMax" dataDxfId="27"/>
    <tableColumn id="22" xr3:uid="{FCCB3C42-DF9E-4393-BF62-69824811D774}" name="LQPrice-RS/SqftMin" dataDxfId="26"/>
    <tableColumn id="23" xr3:uid="{26608A27-984A-4E1E-96B4-FA90B5A3D51E}" name="LQPrice-RS/SqftMax" dataDxfId="25"/>
    <tableColumn id="24" xr3:uid="{EF0A3794-DF66-4BCE-98A0-8DE505EB56C0}" name="%Sold" dataDxfId="24"/>
    <tableColumn id="25" xr3:uid="{1FB11ECB-E558-420B-8435-543B5ED7F4D1}" name="AbsorbedUnits" dataDxfId="23"/>
    <tableColumn id="26" xr3:uid="{417C63AC-A809-4B74-B7E2-F1C548FD32CD}" name="CRM_Price" dataDxfId="22"/>
    <tableColumn id="27" xr3:uid="{8281F039-4BC4-411C-8B29-DBE6456BDE38}" name="CRM_Price_AsOn" dataDxfId="21"/>
    <tableColumn id="28" xr3:uid="{14225FC0-A6D7-4385-9FCC-460C124E214F}" name="CRM_Price_BasedOn" dataDxfId="20"/>
    <tableColumn id="29" xr3:uid="{3540FDA5-6E2C-4850-A8DB-2EBEB4F3DED4}" name="REG_Price" dataDxfId="19"/>
    <tableColumn id="30" xr3:uid="{8FB696BB-AF90-4DBC-90A0-A1BB20C7751E}" name="REG_Price_AsOn" dataDxfId="18"/>
    <tableColumn id="31" xr3:uid="{3E072AA1-8877-4FF5-9951-F5DD5FED08C9}" name="REG_noOfTransactions" dataDxfId="17"/>
    <tableColumn id="32" xr3:uid="{781C7347-878D-4CAC-9C58-62A3DD3AC88E}" name="REG_TotalArea" dataDxfId="16"/>
    <tableColumn id="33" xr3:uid="{49548FBE-11C4-48AE-9338-38B1C0362668}" name="REG_TotalValue" dataDxfId="15"/>
    <tableColumn id="34" xr3:uid="{322611F6-2934-4191-9E8A-6CF6DBBA7735}" name="Info Date" dataDxfId="14"/>
    <tableColumn id="35" xr3:uid="{B287AA4B-AD53-41E8-A87E-33D1F3B9FA38}" name="Current Status" dataDxfId="13"/>
    <tableColumn id="36" xr3:uid="{6439DFF5-D0C7-465E-B038-3C13A2F4A019}" name="Total Proj Sqft" dataDxfId="12"/>
    <tableColumn id="37" xr3:uid="{DBEF8C17-16FF-4A8C-AC17-EADAACBA91B4}" name="Launch Date" dataDxfId="11"/>
    <tableColumn id="38" xr3:uid="{E889CB47-82EB-4626-B449-BC9499601DD4}" name="Completion Date" dataDxfId="10"/>
    <tableColumn id="39" xr3:uid="{E5EF3F1A-05EE-458D-A1E2-121C46656717}" name="DelayMonths" dataDxfId="9"/>
    <tableColumn id="40" xr3:uid="{9662AD98-3368-4980-8911-03EE43B7CBB7}" name="Total Units" dataDxfId="8"/>
    <tableColumn id="41" xr3:uid="{3D4111A6-3593-49E5-98E4-1896F8C5F0DF}" name="PriceBasedOn" dataDxfId="7"/>
    <tableColumn id="42" xr3:uid="{A9212324-A1C0-4617-99D2-4F5B8ECA05FC}" name="Construction Stage" dataDxfId="6"/>
    <tableColumn id="43" xr3:uid="{D7238ED5-3EC2-4617-BD76-87309623C302}" name="Price Inclusive" dataDxfId="5"/>
    <tableColumn id="44" xr3:uid="{6B974C0A-93D1-4220-BFCC-21A6463F45B4}" name="DelayMonths1" dataDxfId="4"/>
    <tableColumn id="45" xr3:uid="{0B202300-9B16-4C2D-B011-DBF7C960E10F}" name="ReraCertificateNo" dataDxfId="3"/>
    <tableColumn id="46" xr3:uid="{9B0ED341-FDBD-4D2D-88E7-B02E2F5C1F83}" name="RERARegistryDat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0413-5735-4C11-92D7-93F08E56D6E8}">
  <dimension ref="A1"/>
  <sheetViews>
    <sheetView tabSelected="1" zoomScale="70" zoomScaleNormal="70" workbookViewId="0">
      <selection activeCell="A27" sqref="A2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08E1-E7BD-4E1C-AF44-D5EF5B39DA5D}">
  <dimension ref="A1:AU23"/>
  <sheetViews>
    <sheetView workbookViewId="0">
      <pane xSplit="4" ySplit="2" topLeftCell="V3" activePane="bottomRight" state="frozen"/>
      <selection pane="topRight" activeCell="D1" sqref="D1"/>
      <selection pane="bottomLeft" activeCell="A2" sqref="A2"/>
      <selection pane="bottomRight" activeCell="Y2" sqref="Y2"/>
    </sheetView>
  </sheetViews>
  <sheetFormatPr defaultRowHeight="14.5" x14ac:dyDescent="0.35"/>
  <cols>
    <col min="1" max="1" width="8.7265625" style="5"/>
    <col min="2" max="2" width="49.54296875" style="5" customWidth="1"/>
    <col min="3" max="3" width="8.26953125" style="5" customWidth="1"/>
    <col min="4" max="4" width="31" style="5" customWidth="1"/>
    <col min="5" max="5" width="17.81640625" style="5" customWidth="1"/>
    <col min="6" max="6" width="12" style="5" customWidth="1"/>
    <col min="7" max="7" width="18.26953125" style="5" customWidth="1"/>
    <col min="8" max="8" width="14.7265625" style="5" customWidth="1"/>
    <col min="9" max="9" width="13.81640625" style="5" customWidth="1"/>
    <col min="10" max="10" width="17.54296875" style="5" customWidth="1"/>
    <col min="11" max="11" width="18.54296875" style="5" customWidth="1"/>
    <col min="12" max="12" width="15.26953125" style="5" customWidth="1"/>
    <col min="13" max="13" width="16.36328125" style="5" customWidth="1"/>
    <col min="14" max="14" width="18.26953125" style="5" customWidth="1"/>
    <col min="15" max="15" width="18.54296875" style="5" customWidth="1"/>
    <col min="16" max="16" width="15.81640625" style="5" customWidth="1"/>
    <col min="17" max="17" width="16.08984375" style="5" customWidth="1"/>
    <col min="18" max="18" width="18.54296875" style="5" customWidth="1"/>
    <col min="19" max="19" width="17.26953125" style="5" customWidth="1"/>
    <col min="20" max="20" width="17.54296875" style="5" customWidth="1"/>
    <col min="21" max="21" width="19.36328125" style="5" customWidth="1"/>
    <col min="22" max="22" width="19.7265625" style="5" customWidth="1"/>
    <col min="23" max="23" width="20.26953125" style="5" customWidth="1"/>
    <col min="24" max="24" width="20.54296875" style="5" customWidth="1"/>
    <col min="25" max="25" width="8.36328125" style="5" customWidth="1"/>
    <col min="26" max="26" width="16.08984375" style="5" customWidth="1"/>
    <col min="27" max="27" width="12.36328125" style="5" customWidth="1"/>
    <col min="28" max="28" width="18.08984375" style="5" customWidth="1"/>
    <col min="29" max="29" width="21.26953125" style="5" customWidth="1"/>
    <col min="30" max="30" width="11.81640625" style="5" customWidth="1"/>
    <col min="31" max="31" width="17.54296875" style="5" customWidth="1"/>
    <col min="32" max="32" width="22.54296875" style="5" customWidth="1"/>
    <col min="33" max="33" width="15.81640625" style="5" customWidth="1"/>
    <col min="34" max="34" width="16.7265625" style="5" customWidth="1"/>
    <col min="35" max="35" width="14" style="5" customWidth="1"/>
    <col min="36" max="36" width="15.54296875" style="5" customWidth="1"/>
    <col min="37" max="37" width="15.08984375" style="5" customWidth="1"/>
    <col min="38" max="38" width="13.7265625" style="5" customWidth="1"/>
    <col min="39" max="39" width="17.81640625" style="5" customWidth="1"/>
    <col min="40" max="40" width="14.7265625" style="5" customWidth="1"/>
    <col min="41" max="41" width="12.26953125" style="5" customWidth="1"/>
    <col min="42" max="42" width="15.26953125" style="5" customWidth="1"/>
    <col min="43" max="43" width="31.26953125" style="5" customWidth="1"/>
    <col min="44" max="44" width="44.26953125" style="5" customWidth="1"/>
    <col min="45" max="45" width="15.7265625" style="5" customWidth="1"/>
    <col min="46" max="46" width="41.7265625" style="5" customWidth="1"/>
    <col min="47" max="47" width="18.81640625" style="5" customWidth="1"/>
    <col min="48" max="16384" width="8.7265625" style="5"/>
  </cols>
  <sheetData>
    <row r="1" spans="1:47" x14ac:dyDescent="0.35">
      <c r="L1" s="13">
        <f>SUBTOTAL(9,Table1[Launched Sqft])/10^6</f>
        <v>10.731032000000001</v>
      </c>
      <c r="M1" s="5">
        <f>SUBTOTAL(9,Table1[Launched Units])</f>
        <v>10283</v>
      </c>
    </row>
    <row r="2" spans="1:47" s="10" customFormat="1" ht="29" x14ac:dyDescent="0.35">
      <c r="A2" s="11" t="s">
        <v>218</v>
      </c>
      <c r="B2" s="9" t="s">
        <v>53</v>
      </c>
      <c r="C2" s="9" t="s">
        <v>54</v>
      </c>
      <c r="D2" s="9" t="s">
        <v>55</v>
      </c>
      <c r="E2" s="9" t="s">
        <v>56</v>
      </c>
      <c r="F2" s="9" t="s">
        <v>57</v>
      </c>
      <c r="G2" s="9" t="s">
        <v>58</v>
      </c>
      <c r="H2" s="9" t="s">
        <v>59</v>
      </c>
      <c r="I2" s="9" t="s">
        <v>60</v>
      </c>
      <c r="J2" s="9" t="s">
        <v>61</v>
      </c>
      <c r="K2" s="9" t="s">
        <v>62</v>
      </c>
      <c r="L2" s="9" t="s">
        <v>63</v>
      </c>
      <c r="M2" s="9" t="s">
        <v>64</v>
      </c>
      <c r="N2" s="9" t="s">
        <v>65</v>
      </c>
      <c r="O2" s="9" t="s">
        <v>66</v>
      </c>
      <c r="P2" s="9" t="s">
        <v>67</v>
      </c>
      <c r="Q2" s="9" t="s">
        <v>68</v>
      </c>
      <c r="R2" s="9" t="s">
        <v>69</v>
      </c>
      <c r="S2" s="9" t="s">
        <v>70</v>
      </c>
      <c r="T2" s="9" t="s">
        <v>71</v>
      </c>
      <c r="U2" s="9" t="s">
        <v>72</v>
      </c>
      <c r="V2" s="9" t="s">
        <v>73</v>
      </c>
      <c r="W2" s="9" t="s">
        <v>74</v>
      </c>
      <c r="X2" s="9" t="s">
        <v>75</v>
      </c>
      <c r="Y2" s="9" t="s">
        <v>76</v>
      </c>
      <c r="Z2" s="9" t="s">
        <v>77</v>
      </c>
      <c r="AA2" s="9" t="s">
        <v>78</v>
      </c>
      <c r="AB2" s="9" t="s">
        <v>79</v>
      </c>
      <c r="AC2" s="9" t="s">
        <v>80</v>
      </c>
      <c r="AD2" s="9" t="s">
        <v>81</v>
      </c>
      <c r="AE2" s="9" t="s">
        <v>82</v>
      </c>
      <c r="AF2" s="9" t="s">
        <v>83</v>
      </c>
      <c r="AG2" s="9" t="s">
        <v>84</v>
      </c>
      <c r="AH2" s="9" t="s">
        <v>85</v>
      </c>
      <c r="AI2" s="9" t="s">
        <v>86</v>
      </c>
      <c r="AJ2" s="9" t="s">
        <v>87</v>
      </c>
      <c r="AK2" s="9" t="s">
        <v>88</v>
      </c>
      <c r="AL2" s="9" t="s">
        <v>89</v>
      </c>
      <c r="AM2" s="9" t="s">
        <v>90</v>
      </c>
      <c r="AN2" s="9" t="s">
        <v>91</v>
      </c>
      <c r="AO2" s="9" t="s">
        <v>92</v>
      </c>
      <c r="AP2" s="9" t="s">
        <v>93</v>
      </c>
      <c r="AQ2" s="9" t="s">
        <v>94</v>
      </c>
      <c r="AR2" s="9" t="s">
        <v>95</v>
      </c>
      <c r="AS2" s="9" t="s">
        <v>96</v>
      </c>
      <c r="AT2" s="9" t="s">
        <v>97</v>
      </c>
      <c r="AU2" s="9" t="s">
        <v>98</v>
      </c>
    </row>
    <row r="3" spans="1:47" x14ac:dyDescent="0.35">
      <c r="A3" s="12">
        <v>1</v>
      </c>
      <c r="B3" s="6" t="s">
        <v>99</v>
      </c>
      <c r="C3" s="5" t="s">
        <v>100</v>
      </c>
      <c r="D3" s="5" t="s">
        <v>101</v>
      </c>
      <c r="E3" s="5" t="s">
        <v>102</v>
      </c>
      <c r="F3" s="5" t="s">
        <v>103</v>
      </c>
      <c r="G3" s="5" t="s">
        <v>42</v>
      </c>
      <c r="H3" s="5" t="s">
        <v>104</v>
      </c>
      <c r="I3" s="5" t="s">
        <v>105</v>
      </c>
      <c r="J3" s="5" t="s">
        <v>106</v>
      </c>
      <c r="K3" s="5" t="s">
        <v>107</v>
      </c>
      <c r="L3" s="5">
        <v>796400</v>
      </c>
      <c r="M3" s="5">
        <v>196</v>
      </c>
      <c r="N3" s="5">
        <v>3500</v>
      </c>
      <c r="O3" s="5">
        <v>5100</v>
      </c>
      <c r="P3" s="5">
        <v>4</v>
      </c>
      <c r="Q3" s="5">
        <v>5</v>
      </c>
      <c r="R3" s="5">
        <v>17285</v>
      </c>
      <c r="S3" s="5" t="s">
        <v>108</v>
      </c>
      <c r="T3" s="5" t="s">
        <v>109</v>
      </c>
      <c r="U3" s="5">
        <v>0</v>
      </c>
      <c r="V3" s="5">
        <v>0</v>
      </c>
      <c r="W3" s="5">
        <v>0</v>
      </c>
      <c r="X3" s="5">
        <v>0</v>
      </c>
      <c r="Y3" s="5">
        <v>11.22</v>
      </c>
      <c r="Z3" s="5">
        <v>22</v>
      </c>
      <c r="AI3" s="5" t="s">
        <v>110</v>
      </c>
      <c r="AJ3" s="5" t="s">
        <v>111</v>
      </c>
      <c r="AK3" s="5">
        <v>796400</v>
      </c>
      <c r="AL3" s="5" t="s">
        <v>110</v>
      </c>
      <c r="AM3" s="5" t="s">
        <v>112</v>
      </c>
      <c r="AN3" s="5" t="s">
        <v>100</v>
      </c>
      <c r="AO3" s="5">
        <v>196</v>
      </c>
      <c r="AP3" s="5" t="s">
        <v>113</v>
      </c>
      <c r="AQ3" s="5" t="s">
        <v>114</v>
      </c>
      <c r="AR3" s="5" t="s">
        <v>100</v>
      </c>
      <c r="AS3" s="5">
        <v>0</v>
      </c>
      <c r="AT3" s="5" t="s">
        <v>115</v>
      </c>
      <c r="AU3" s="5" t="s">
        <v>116</v>
      </c>
    </row>
    <row r="4" spans="1:47" x14ac:dyDescent="0.35">
      <c r="A4" s="12">
        <v>2</v>
      </c>
      <c r="B4" s="6" t="s">
        <v>117</v>
      </c>
      <c r="C4" s="5" t="s">
        <v>100</v>
      </c>
      <c r="D4" s="5" t="s">
        <v>118</v>
      </c>
      <c r="E4" s="5" t="s">
        <v>102</v>
      </c>
      <c r="F4" s="5" t="s">
        <v>103</v>
      </c>
      <c r="G4" s="5" t="s">
        <v>42</v>
      </c>
      <c r="H4" s="5" t="s">
        <v>104</v>
      </c>
      <c r="I4" s="5" t="s">
        <v>105</v>
      </c>
      <c r="J4" s="5" t="s">
        <v>119</v>
      </c>
      <c r="K4" s="5" t="s">
        <v>120</v>
      </c>
      <c r="L4" s="5">
        <v>883228</v>
      </c>
      <c r="M4" s="5">
        <v>635</v>
      </c>
      <c r="N4" s="5">
        <v>938</v>
      </c>
      <c r="O4" s="5">
        <v>1561</v>
      </c>
      <c r="P4" s="5">
        <v>2</v>
      </c>
      <c r="Q4" s="5">
        <v>3</v>
      </c>
      <c r="R4" s="5">
        <v>5265</v>
      </c>
      <c r="S4" s="5" t="s">
        <v>109</v>
      </c>
      <c r="T4" s="5" t="s">
        <v>109</v>
      </c>
      <c r="U4" s="5">
        <v>8200</v>
      </c>
      <c r="V4" s="5">
        <v>9200</v>
      </c>
      <c r="W4" s="5">
        <v>6263</v>
      </c>
      <c r="X4" s="5">
        <v>0</v>
      </c>
      <c r="Y4" s="5">
        <v>100</v>
      </c>
      <c r="Z4" s="5">
        <v>635</v>
      </c>
      <c r="AI4" s="5" t="s">
        <v>110</v>
      </c>
      <c r="AJ4" s="5" t="s">
        <v>121</v>
      </c>
      <c r="AK4" s="5">
        <v>883228</v>
      </c>
      <c r="AL4" s="5" t="s">
        <v>122</v>
      </c>
      <c r="AM4" s="5" t="s">
        <v>123</v>
      </c>
      <c r="AN4" s="5" t="s">
        <v>124</v>
      </c>
      <c r="AO4" s="5">
        <v>635</v>
      </c>
      <c r="AP4" s="5" t="s">
        <v>113</v>
      </c>
      <c r="AQ4" s="5" t="s">
        <v>125</v>
      </c>
      <c r="AR4" s="5" t="s">
        <v>100</v>
      </c>
      <c r="AS4" s="5">
        <v>12</v>
      </c>
      <c r="AT4" s="5" t="s">
        <v>126</v>
      </c>
      <c r="AU4" s="5" t="s">
        <v>127</v>
      </c>
    </row>
    <row r="5" spans="1:47" x14ac:dyDescent="0.35">
      <c r="A5" s="12">
        <v>3</v>
      </c>
      <c r="B5" s="6" t="s">
        <v>128</v>
      </c>
      <c r="C5" s="5" t="s">
        <v>129</v>
      </c>
      <c r="D5" s="5" t="s">
        <v>118</v>
      </c>
      <c r="E5" s="5" t="s">
        <v>102</v>
      </c>
      <c r="F5" s="5" t="s">
        <v>103</v>
      </c>
      <c r="G5" s="5" t="s">
        <v>42</v>
      </c>
      <c r="H5" s="5" t="s">
        <v>104</v>
      </c>
      <c r="I5" s="5" t="s">
        <v>105</v>
      </c>
      <c r="J5" s="5" t="s">
        <v>119</v>
      </c>
      <c r="K5" s="5" t="s">
        <v>120</v>
      </c>
      <c r="L5" s="5">
        <v>502530</v>
      </c>
      <c r="M5" s="5">
        <v>525</v>
      </c>
      <c r="N5" s="5">
        <v>521</v>
      </c>
      <c r="O5" s="5">
        <v>1382</v>
      </c>
      <c r="P5" s="5">
        <v>1</v>
      </c>
      <c r="Q5" s="5">
        <v>3</v>
      </c>
      <c r="R5" s="5">
        <v>8600</v>
      </c>
      <c r="S5" s="5" t="s">
        <v>109</v>
      </c>
      <c r="T5" s="5" t="s">
        <v>109</v>
      </c>
      <c r="U5" s="5">
        <v>9400</v>
      </c>
      <c r="V5" s="5">
        <v>10000</v>
      </c>
      <c r="W5" s="5">
        <v>9100</v>
      </c>
      <c r="X5" s="5">
        <v>0</v>
      </c>
      <c r="Y5" s="5">
        <v>100</v>
      </c>
      <c r="Z5" s="5">
        <v>525</v>
      </c>
      <c r="AI5" s="5" t="s">
        <v>110</v>
      </c>
      <c r="AJ5" s="5" t="s">
        <v>121</v>
      </c>
      <c r="AK5" s="5">
        <v>1595908</v>
      </c>
      <c r="AL5" s="5" t="s">
        <v>130</v>
      </c>
      <c r="AM5" s="5" t="s">
        <v>123</v>
      </c>
      <c r="AN5" s="5" t="s">
        <v>100</v>
      </c>
      <c r="AO5" s="5">
        <v>2273</v>
      </c>
      <c r="AP5" s="5" t="s">
        <v>113</v>
      </c>
      <c r="AQ5" s="5" t="s">
        <v>131</v>
      </c>
      <c r="AR5" s="5" t="s">
        <v>132</v>
      </c>
      <c r="AS5" s="5">
        <v>0</v>
      </c>
      <c r="AT5" s="5" t="s">
        <v>133</v>
      </c>
      <c r="AU5" s="5" t="s">
        <v>134</v>
      </c>
    </row>
    <row r="6" spans="1:47" x14ac:dyDescent="0.35">
      <c r="A6" s="12">
        <v>3</v>
      </c>
      <c r="B6" s="6" t="s">
        <v>135</v>
      </c>
      <c r="C6" s="5" t="s">
        <v>136</v>
      </c>
      <c r="D6" s="5" t="s">
        <v>118</v>
      </c>
      <c r="E6" s="5" t="s">
        <v>102</v>
      </c>
      <c r="F6" s="5" t="s">
        <v>103</v>
      </c>
      <c r="G6" s="5" t="s">
        <v>42</v>
      </c>
      <c r="H6" s="5" t="s">
        <v>104</v>
      </c>
      <c r="I6" s="5" t="s">
        <v>105</v>
      </c>
      <c r="J6" s="5" t="s">
        <v>119</v>
      </c>
      <c r="K6" s="5" t="s">
        <v>120</v>
      </c>
      <c r="L6" s="5">
        <v>508128</v>
      </c>
      <c r="M6" s="5">
        <v>948</v>
      </c>
      <c r="N6" s="5">
        <v>536</v>
      </c>
      <c r="O6" s="5">
        <v>0</v>
      </c>
      <c r="P6" s="5">
        <v>1</v>
      </c>
      <c r="Q6" s="5">
        <v>0</v>
      </c>
      <c r="R6" s="5">
        <v>8860</v>
      </c>
      <c r="S6" s="5" t="s">
        <v>109</v>
      </c>
      <c r="T6" s="5" t="s">
        <v>109</v>
      </c>
      <c r="U6" s="5">
        <v>9400</v>
      </c>
      <c r="V6" s="5">
        <v>10000</v>
      </c>
      <c r="W6" s="5">
        <v>9100</v>
      </c>
      <c r="X6" s="5">
        <v>0</v>
      </c>
      <c r="Y6" s="5">
        <v>100</v>
      </c>
      <c r="Z6" s="5">
        <v>948</v>
      </c>
      <c r="AI6" s="5" t="s">
        <v>110</v>
      </c>
      <c r="AJ6" s="5" t="s">
        <v>121</v>
      </c>
      <c r="AK6" s="5">
        <v>1595908</v>
      </c>
      <c r="AL6" s="5" t="s">
        <v>137</v>
      </c>
      <c r="AM6" s="5" t="s">
        <v>138</v>
      </c>
      <c r="AN6" s="5" t="s">
        <v>100</v>
      </c>
      <c r="AO6" s="5">
        <v>2273</v>
      </c>
      <c r="AP6" s="5" t="s">
        <v>113</v>
      </c>
      <c r="AQ6" s="5" t="s">
        <v>125</v>
      </c>
      <c r="AR6" s="5" t="s">
        <v>132</v>
      </c>
      <c r="AS6" s="5">
        <v>0</v>
      </c>
      <c r="AT6" s="5" t="s">
        <v>139</v>
      </c>
      <c r="AU6" s="5" t="s">
        <v>140</v>
      </c>
    </row>
    <row r="7" spans="1:47" x14ac:dyDescent="0.35">
      <c r="A7" s="12">
        <v>3</v>
      </c>
      <c r="B7" s="6" t="s">
        <v>141</v>
      </c>
      <c r="C7" s="5" t="s">
        <v>142</v>
      </c>
      <c r="D7" s="5" t="s">
        <v>118</v>
      </c>
      <c r="E7" s="5" t="s">
        <v>102</v>
      </c>
      <c r="F7" s="5" t="s">
        <v>103</v>
      </c>
      <c r="G7" s="5" t="s">
        <v>42</v>
      </c>
      <c r="H7" s="5" t="s">
        <v>104</v>
      </c>
      <c r="I7" s="5" t="s">
        <v>105</v>
      </c>
      <c r="J7" s="5" t="s">
        <v>119</v>
      </c>
      <c r="K7" s="5" t="s">
        <v>120</v>
      </c>
      <c r="L7" s="5">
        <v>585250</v>
      </c>
      <c r="M7" s="5">
        <v>800</v>
      </c>
      <c r="N7" s="5">
        <v>521</v>
      </c>
      <c r="O7" s="5">
        <v>1070</v>
      </c>
      <c r="P7" s="5">
        <v>1</v>
      </c>
      <c r="Q7" s="5">
        <v>2</v>
      </c>
      <c r="R7" s="5">
        <v>9345</v>
      </c>
      <c r="S7" s="5" t="s">
        <v>109</v>
      </c>
      <c r="T7" s="5" t="s">
        <v>109</v>
      </c>
      <c r="U7" s="5">
        <v>9400</v>
      </c>
      <c r="V7" s="5">
        <v>10000</v>
      </c>
      <c r="W7" s="5">
        <v>9345</v>
      </c>
      <c r="X7" s="5">
        <v>0</v>
      </c>
      <c r="Y7" s="5">
        <v>100</v>
      </c>
      <c r="Z7" s="5">
        <v>800</v>
      </c>
      <c r="AI7" s="5" t="s">
        <v>110</v>
      </c>
      <c r="AJ7" s="5" t="s">
        <v>121</v>
      </c>
      <c r="AK7" s="5">
        <v>1595908</v>
      </c>
      <c r="AL7" s="5" t="s">
        <v>143</v>
      </c>
      <c r="AM7" s="5" t="s">
        <v>138</v>
      </c>
      <c r="AN7" s="5" t="s">
        <v>100</v>
      </c>
      <c r="AO7" s="5">
        <v>2273</v>
      </c>
      <c r="AP7" s="5" t="s">
        <v>113</v>
      </c>
      <c r="AQ7" s="5" t="s">
        <v>131</v>
      </c>
      <c r="AR7" s="5" t="s">
        <v>132</v>
      </c>
      <c r="AS7" s="5">
        <v>0</v>
      </c>
      <c r="AT7" s="5" t="s">
        <v>133</v>
      </c>
      <c r="AU7" s="5" t="s">
        <v>134</v>
      </c>
    </row>
    <row r="8" spans="1:47" x14ac:dyDescent="0.35">
      <c r="A8" s="12">
        <v>4</v>
      </c>
      <c r="B8" s="6" t="s">
        <v>147</v>
      </c>
      <c r="C8" s="5" t="s">
        <v>136</v>
      </c>
      <c r="D8" s="5" t="s">
        <v>118</v>
      </c>
      <c r="E8" s="5" t="s">
        <v>102</v>
      </c>
      <c r="F8" s="5" t="s">
        <v>103</v>
      </c>
      <c r="G8" s="5" t="s">
        <v>42</v>
      </c>
      <c r="H8" s="5" t="s">
        <v>104</v>
      </c>
      <c r="I8" s="5" t="s">
        <v>105</v>
      </c>
      <c r="J8" s="5" t="s">
        <v>119</v>
      </c>
      <c r="K8" s="5" t="s">
        <v>120</v>
      </c>
      <c r="L8" s="5">
        <v>269915</v>
      </c>
      <c r="M8" s="5">
        <v>250</v>
      </c>
      <c r="N8" s="5">
        <v>938</v>
      </c>
      <c r="O8" s="5">
        <v>1382</v>
      </c>
      <c r="P8" s="5">
        <v>2</v>
      </c>
      <c r="Q8" s="5">
        <v>3</v>
      </c>
      <c r="R8" s="5">
        <v>4800</v>
      </c>
      <c r="S8" s="5" t="s">
        <v>109</v>
      </c>
      <c r="T8" s="5" t="s">
        <v>109</v>
      </c>
      <c r="U8" s="5">
        <v>8500</v>
      </c>
      <c r="V8" s="5">
        <v>9500</v>
      </c>
      <c r="W8" s="5">
        <v>5300</v>
      </c>
      <c r="X8" s="5">
        <v>0</v>
      </c>
      <c r="Y8" s="5">
        <v>100</v>
      </c>
      <c r="Z8" s="5">
        <v>250</v>
      </c>
      <c r="AI8" s="5" t="s">
        <v>110</v>
      </c>
      <c r="AJ8" s="5" t="s">
        <v>121</v>
      </c>
      <c r="AK8" s="5">
        <v>1300800</v>
      </c>
      <c r="AL8" s="5" t="s">
        <v>148</v>
      </c>
      <c r="AM8" s="5" t="s">
        <v>149</v>
      </c>
      <c r="AN8" s="5" t="s">
        <v>100</v>
      </c>
      <c r="AO8" s="5">
        <v>1236</v>
      </c>
      <c r="AP8" s="5" t="s">
        <v>113</v>
      </c>
      <c r="AQ8" s="5" t="s">
        <v>150</v>
      </c>
      <c r="AR8" s="5" t="s">
        <v>132</v>
      </c>
      <c r="AS8" s="5">
        <v>0</v>
      </c>
      <c r="AT8" s="5" t="s">
        <v>145</v>
      </c>
      <c r="AU8" s="5" t="s">
        <v>146</v>
      </c>
    </row>
    <row r="9" spans="1:47" x14ac:dyDescent="0.35">
      <c r="A9" s="12">
        <v>5</v>
      </c>
      <c r="B9" s="6" t="s">
        <v>151</v>
      </c>
      <c r="C9" s="5" t="s">
        <v>129</v>
      </c>
      <c r="D9" s="5" t="s">
        <v>152</v>
      </c>
      <c r="E9" s="5" t="s">
        <v>102</v>
      </c>
      <c r="F9" s="5" t="s">
        <v>103</v>
      </c>
      <c r="G9" s="5" t="s">
        <v>42</v>
      </c>
      <c r="H9" s="5" t="s">
        <v>104</v>
      </c>
      <c r="I9" s="5" t="s">
        <v>105</v>
      </c>
      <c r="J9" s="5" t="s">
        <v>119</v>
      </c>
      <c r="K9" s="5" t="s">
        <v>120</v>
      </c>
      <c r="L9" s="5">
        <v>1011710</v>
      </c>
      <c r="M9" s="5">
        <v>1163</v>
      </c>
      <c r="N9" s="5">
        <v>750</v>
      </c>
      <c r="O9" s="5">
        <v>1630</v>
      </c>
      <c r="P9" s="5">
        <v>1</v>
      </c>
      <c r="Q9" s="5">
        <v>3</v>
      </c>
      <c r="R9" s="5">
        <v>7537</v>
      </c>
      <c r="S9" s="5" t="s">
        <v>153</v>
      </c>
      <c r="T9" s="5" t="s">
        <v>154</v>
      </c>
      <c r="U9" s="5">
        <v>0</v>
      </c>
      <c r="V9" s="5">
        <v>0</v>
      </c>
      <c r="W9" s="5">
        <v>0</v>
      </c>
      <c r="X9" s="5">
        <v>0</v>
      </c>
      <c r="Y9" s="5">
        <v>99.91</v>
      </c>
      <c r="Z9" s="5">
        <v>1162</v>
      </c>
      <c r="AI9" s="5" t="s">
        <v>110</v>
      </c>
      <c r="AJ9" s="5" t="s">
        <v>111</v>
      </c>
      <c r="AK9" s="5">
        <v>2485418</v>
      </c>
      <c r="AL9" s="5" t="s">
        <v>155</v>
      </c>
      <c r="AM9" s="5" t="s">
        <v>156</v>
      </c>
      <c r="AN9" s="5" t="s">
        <v>157</v>
      </c>
      <c r="AO9" s="5">
        <v>2210</v>
      </c>
      <c r="AP9" s="5" t="s">
        <v>113</v>
      </c>
      <c r="AQ9" s="5" t="s">
        <v>158</v>
      </c>
      <c r="AR9" s="5" t="s">
        <v>132</v>
      </c>
      <c r="AS9" s="5">
        <v>9</v>
      </c>
      <c r="AT9" s="5" t="s">
        <v>159</v>
      </c>
      <c r="AU9" s="5" t="s">
        <v>160</v>
      </c>
    </row>
    <row r="10" spans="1:47" x14ac:dyDescent="0.35">
      <c r="A10" s="12">
        <v>5</v>
      </c>
      <c r="B10" s="6" t="s">
        <v>161</v>
      </c>
      <c r="C10" s="5" t="s">
        <v>136</v>
      </c>
      <c r="D10" s="5" t="s">
        <v>152</v>
      </c>
      <c r="E10" s="5" t="s">
        <v>102</v>
      </c>
      <c r="F10" s="5" t="s">
        <v>103</v>
      </c>
      <c r="G10" s="5" t="s">
        <v>42</v>
      </c>
      <c r="H10" s="5" t="s">
        <v>104</v>
      </c>
      <c r="I10" s="5" t="s">
        <v>105</v>
      </c>
      <c r="J10" s="5" t="s">
        <v>119</v>
      </c>
      <c r="K10" s="5" t="s">
        <v>120</v>
      </c>
      <c r="L10" s="5">
        <v>471604</v>
      </c>
      <c r="M10" s="5">
        <v>349</v>
      </c>
      <c r="N10" s="5">
        <v>1092</v>
      </c>
      <c r="O10" s="5">
        <v>1630</v>
      </c>
      <c r="P10" s="5">
        <v>2</v>
      </c>
      <c r="Q10" s="5">
        <v>3</v>
      </c>
      <c r="R10" s="5">
        <v>7537</v>
      </c>
      <c r="S10" s="5" t="s">
        <v>153</v>
      </c>
      <c r="T10" s="5" t="s">
        <v>154</v>
      </c>
      <c r="U10" s="5">
        <v>0</v>
      </c>
      <c r="V10" s="5">
        <v>0</v>
      </c>
      <c r="W10" s="5">
        <v>0</v>
      </c>
      <c r="X10" s="5">
        <v>0</v>
      </c>
      <c r="Y10" s="5">
        <v>83.09</v>
      </c>
      <c r="Z10" s="5">
        <v>290</v>
      </c>
      <c r="AI10" s="5" t="s">
        <v>110</v>
      </c>
      <c r="AJ10" s="5" t="s">
        <v>111</v>
      </c>
      <c r="AK10" s="5">
        <v>2485418</v>
      </c>
      <c r="AL10" s="5" t="s">
        <v>155</v>
      </c>
      <c r="AM10" s="5" t="s">
        <v>156</v>
      </c>
      <c r="AN10" s="5" t="s">
        <v>100</v>
      </c>
      <c r="AO10" s="5">
        <v>2210</v>
      </c>
      <c r="AP10" s="5" t="s">
        <v>113</v>
      </c>
      <c r="AQ10" s="5" t="s">
        <v>158</v>
      </c>
      <c r="AR10" s="5" t="s">
        <v>132</v>
      </c>
      <c r="AS10" s="5">
        <v>0</v>
      </c>
      <c r="AT10" s="5" t="s">
        <v>159</v>
      </c>
      <c r="AU10" s="5" t="s">
        <v>160</v>
      </c>
    </row>
    <row r="11" spans="1:47" x14ac:dyDescent="0.35">
      <c r="A11" s="12">
        <v>5</v>
      </c>
      <c r="B11" s="6" t="s">
        <v>162</v>
      </c>
      <c r="C11" s="5" t="s">
        <v>142</v>
      </c>
      <c r="D11" s="5" t="s">
        <v>152</v>
      </c>
      <c r="E11" s="5" t="s">
        <v>102</v>
      </c>
      <c r="F11" s="5" t="s">
        <v>103</v>
      </c>
      <c r="G11" s="5" t="s">
        <v>42</v>
      </c>
      <c r="H11" s="5" t="s">
        <v>104</v>
      </c>
      <c r="I11" s="5" t="s">
        <v>105</v>
      </c>
      <c r="J11" s="5" t="s">
        <v>119</v>
      </c>
      <c r="K11" s="5" t="s">
        <v>120</v>
      </c>
      <c r="L11" s="5">
        <v>501052</v>
      </c>
      <c r="M11" s="5">
        <v>349</v>
      </c>
      <c r="N11" s="5">
        <v>1092</v>
      </c>
      <c r="O11" s="5">
        <v>1630</v>
      </c>
      <c r="P11" s="5">
        <v>2</v>
      </c>
      <c r="Q11" s="5">
        <v>3</v>
      </c>
      <c r="R11" s="5">
        <v>7775</v>
      </c>
      <c r="S11" s="5" t="s">
        <v>153</v>
      </c>
      <c r="T11" s="5" t="s">
        <v>154</v>
      </c>
      <c r="U11" s="5">
        <v>0</v>
      </c>
      <c r="V11" s="5">
        <v>0</v>
      </c>
      <c r="W11" s="5">
        <v>0</v>
      </c>
      <c r="X11" s="5">
        <v>0</v>
      </c>
      <c r="Y11" s="5">
        <v>64.47</v>
      </c>
      <c r="Z11" s="5">
        <v>225</v>
      </c>
      <c r="AI11" s="5" t="s">
        <v>110</v>
      </c>
      <c r="AJ11" s="5" t="s">
        <v>111</v>
      </c>
      <c r="AK11" s="5">
        <v>2485418</v>
      </c>
      <c r="AL11" s="5" t="s">
        <v>163</v>
      </c>
      <c r="AM11" s="5" t="s">
        <v>156</v>
      </c>
      <c r="AN11" s="5" t="s">
        <v>100</v>
      </c>
      <c r="AO11" s="5">
        <v>2210</v>
      </c>
      <c r="AP11" s="5" t="s">
        <v>113</v>
      </c>
      <c r="AQ11" s="5" t="s">
        <v>158</v>
      </c>
      <c r="AR11" s="5" t="s">
        <v>132</v>
      </c>
      <c r="AS11" s="5">
        <v>0</v>
      </c>
      <c r="AT11" s="5" t="s">
        <v>159</v>
      </c>
      <c r="AU11" s="5" t="s">
        <v>160</v>
      </c>
    </row>
    <row r="12" spans="1:47" x14ac:dyDescent="0.35">
      <c r="A12" s="12">
        <v>5</v>
      </c>
      <c r="B12" s="6" t="s">
        <v>164</v>
      </c>
      <c r="C12" s="5" t="s">
        <v>165</v>
      </c>
      <c r="D12" s="5" t="s">
        <v>152</v>
      </c>
      <c r="E12" s="5" t="s">
        <v>102</v>
      </c>
      <c r="F12" s="5" t="s">
        <v>103</v>
      </c>
      <c r="G12" s="5" t="s">
        <v>42</v>
      </c>
      <c r="H12" s="5" t="s">
        <v>104</v>
      </c>
      <c r="I12" s="5" t="s">
        <v>105</v>
      </c>
      <c r="J12" s="5" t="s">
        <v>119</v>
      </c>
      <c r="K12" s="5" t="s">
        <v>120</v>
      </c>
      <c r="L12" s="5">
        <v>501052</v>
      </c>
      <c r="M12" s="5">
        <v>349</v>
      </c>
      <c r="N12" s="5">
        <v>1092</v>
      </c>
      <c r="O12" s="5">
        <v>1630</v>
      </c>
      <c r="P12" s="5">
        <v>2</v>
      </c>
      <c r="Q12" s="5">
        <v>3</v>
      </c>
      <c r="R12" s="5">
        <v>7775</v>
      </c>
      <c r="S12" s="5" t="s">
        <v>153</v>
      </c>
      <c r="T12" s="5" t="s">
        <v>154</v>
      </c>
      <c r="U12" s="5">
        <v>0</v>
      </c>
      <c r="V12" s="5">
        <v>0</v>
      </c>
      <c r="W12" s="5">
        <v>0</v>
      </c>
      <c r="X12" s="5">
        <v>0</v>
      </c>
      <c r="Y12" s="5">
        <v>55.59</v>
      </c>
      <c r="Z12" s="5">
        <v>194</v>
      </c>
      <c r="AI12" s="5" t="s">
        <v>110</v>
      </c>
      <c r="AJ12" s="5" t="s">
        <v>111</v>
      </c>
      <c r="AK12" s="5">
        <v>2485418</v>
      </c>
      <c r="AL12" s="5" t="s">
        <v>130</v>
      </c>
      <c r="AM12" s="5" t="s">
        <v>123</v>
      </c>
      <c r="AN12" s="5" t="s">
        <v>100</v>
      </c>
      <c r="AO12" s="5">
        <v>2210</v>
      </c>
      <c r="AP12" s="5" t="s">
        <v>113</v>
      </c>
      <c r="AQ12" s="5" t="s">
        <v>158</v>
      </c>
      <c r="AR12" s="5" t="s">
        <v>132</v>
      </c>
      <c r="AS12" s="5">
        <v>0</v>
      </c>
      <c r="AT12" s="5" t="s">
        <v>159</v>
      </c>
      <c r="AU12" s="5" t="s">
        <v>160</v>
      </c>
    </row>
    <row r="13" spans="1:47" x14ac:dyDescent="0.35">
      <c r="A13" s="12">
        <v>6</v>
      </c>
      <c r="B13" s="6" t="s">
        <v>166</v>
      </c>
      <c r="C13" s="5" t="s">
        <v>129</v>
      </c>
      <c r="D13" s="5" t="s">
        <v>167</v>
      </c>
      <c r="E13" s="5" t="s">
        <v>102</v>
      </c>
      <c r="F13" s="5" t="s">
        <v>103</v>
      </c>
      <c r="G13" s="5" t="s">
        <v>42</v>
      </c>
      <c r="H13" s="5" t="s">
        <v>104</v>
      </c>
      <c r="I13" s="5" t="s">
        <v>105</v>
      </c>
      <c r="J13" s="5" t="s">
        <v>119</v>
      </c>
      <c r="K13" s="5" t="s">
        <v>120</v>
      </c>
      <c r="L13" s="5">
        <v>1396092</v>
      </c>
      <c r="M13" s="5">
        <v>1686</v>
      </c>
      <c r="N13" s="5">
        <v>576</v>
      </c>
      <c r="O13" s="5">
        <v>1927</v>
      </c>
      <c r="P13" s="5">
        <v>1</v>
      </c>
      <c r="Q13" s="5">
        <v>3</v>
      </c>
      <c r="R13" s="5">
        <v>7490</v>
      </c>
      <c r="S13" s="5" t="s">
        <v>168</v>
      </c>
      <c r="T13" s="5" t="s">
        <v>109</v>
      </c>
      <c r="U13" s="5">
        <v>0</v>
      </c>
      <c r="V13" s="5">
        <v>0</v>
      </c>
      <c r="W13" s="5">
        <v>0</v>
      </c>
      <c r="X13" s="5">
        <v>0</v>
      </c>
      <c r="Y13" s="5">
        <v>80.069999999999993</v>
      </c>
      <c r="Z13" s="5">
        <v>1350</v>
      </c>
      <c r="AI13" s="5" t="s">
        <v>110</v>
      </c>
      <c r="AJ13" s="5" t="s">
        <v>111</v>
      </c>
      <c r="AK13" s="5">
        <v>2569700</v>
      </c>
      <c r="AL13" s="5" t="s">
        <v>169</v>
      </c>
      <c r="AM13" s="5" t="s">
        <v>170</v>
      </c>
      <c r="AN13" s="5" t="s">
        <v>100</v>
      </c>
      <c r="AO13" s="5">
        <v>2736</v>
      </c>
      <c r="AP13" s="5" t="s">
        <v>113</v>
      </c>
      <c r="AQ13" s="5" t="s">
        <v>125</v>
      </c>
      <c r="AR13" s="5" t="s">
        <v>100</v>
      </c>
      <c r="AS13" s="5">
        <v>0</v>
      </c>
      <c r="AT13" s="5" t="s">
        <v>171</v>
      </c>
      <c r="AU13" s="5" t="s">
        <v>172</v>
      </c>
    </row>
    <row r="14" spans="1:47" x14ac:dyDescent="0.35">
      <c r="A14" s="12">
        <v>6</v>
      </c>
      <c r="B14" s="6" t="s">
        <v>173</v>
      </c>
      <c r="C14" s="5" t="s">
        <v>136</v>
      </c>
      <c r="D14" s="5" t="s">
        <v>167</v>
      </c>
      <c r="E14" s="5" t="s">
        <v>102</v>
      </c>
      <c r="F14" s="5" t="s">
        <v>103</v>
      </c>
      <c r="G14" s="5" t="s">
        <v>42</v>
      </c>
      <c r="H14" s="5" t="s">
        <v>104</v>
      </c>
      <c r="I14" s="5" t="s">
        <v>105</v>
      </c>
      <c r="J14" s="5" t="s">
        <v>119</v>
      </c>
      <c r="K14" s="5" t="s">
        <v>120</v>
      </c>
      <c r="L14" s="5">
        <v>657000</v>
      </c>
      <c r="M14" s="5">
        <v>500</v>
      </c>
      <c r="N14" s="5">
        <v>1314</v>
      </c>
      <c r="O14" s="5">
        <v>0</v>
      </c>
      <c r="P14" s="5">
        <v>2</v>
      </c>
      <c r="Q14" s="5">
        <v>0</v>
      </c>
      <c r="R14" s="5">
        <v>7700</v>
      </c>
      <c r="S14" s="5" t="s">
        <v>168</v>
      </c>
      <c r="T14" s="5" t="s">
        <v>109</v>
      </c>
      <c r="U14" s="5">
        <v>0</v>
      </c>
      <c r="V14" s="5">
        <v>0</v>
      </c>
      <c r="W14" s="5">
        <v>0</v>
      </c>
      <c r="X14" s="5">
        <v>0</v>
      </c>
      <c r="Y14" s="5">
        <v>6.6</v>
      </c>
      <c r="Z14" s="5">
        <v>33</v>
      </c>
      <c r="AI14" s="5" t="s">
        <v>110</v>
      </c>
      <c r="AJ14" s="5" t="s">
        <v>111</v>
      </c>
      <c r="AK14" s="5">
        <v>2569700</v>
      </c>
      <c r="AL14" s="5" t="s">
        <v>174</v>
      </c>
      <c r="AM14" s="5" t="s">
        <v>170</v>
      </c>
      <c r="AN14" s="5" t="s">
        <v>100</v>
      </c>
      <c r="AO14" s="5">
        <v>2736</v>
      </c>
      <c r="AP14" s="5" t="s">
        <v>113</v>
      </c>
      <c r="AQ14" s="5" t="s">
        <v>125</v>
      </c>
      <c r="AR14" s="5" t="s">
        <v>100</v>
      </c>
      <c r="AS14" s="5">
        <v>0</v>
      </c>
    </row>
    <row r="15" spans="1:47" x14ac:dyDescent="0.35">
      <c r="A15" s="12">
        <v>7</v>
      </c>
      <c r="B15" s="6" t="s">
        <v>175</v>
      </c>
      <c r="C15" s="5" t="s">
        <v>100</v>
      </c>
      <c r="D15" s="5" t="s">
        <v>176</v>
      </c>
      <c r="E15" s="5" t="s">
        <v>102</v>
      </c>
      <c r="F15" s="5" t="s">
        <v>103</v>
      </c>
      <c r="G15" s="5" t="s">
        <v>42</v>
      </c>
      <c r="H15" s="5" t="s">
        <v>104</v>
      </c>
      <c r="I15" s="5" t="s">
        <v>105</v>
      </c>
      <c r="J15" s="5" t="s">
        <v>119</v>
      </c>
      <c r="K15" s="5" t="s">
        <v>107</v>
      </c>
      <c r="L15" s="5">
        <v>287660</v>
      </c>
      <c r="M15" s="5">
        <v>100</v>
      </c>
      <c r="N15" s="5">
        <v>2600</v>
      </c>
      <c r="O15" s="5">
        <v>3070</v>
      </c>
      <c r="P15" s="5">
        <v>4</v>
      </c>
      <c r="Q15" s="5">
        <v>5</v>
      </c>
      <c r="R15" s="5">
        <v>10500</v>
      </c>
      <c r="S15" s="5" t="s">
        <v>177</v>
      </c>
      <c r="T15" s="5" t="s">
        <v>109</v>
      </c>
      <c r="U15" s="5">
        <v>0</v>
      </c>
      <c r="V15" s="5">
        <v>0</v>
      </c>
      <c r="W15" s="5">
        <v>0</v>
      </c>
      <c r="X15" s="5">
        <v>0</v>
      </c>
      <c r="Y15" s="5">
        <v>17</v>
      </c>
      <c r="Z15" s="5">
        <v>17</v>
      </c>
      <c r="AI15" s="5" t="s">
        <v>110</v>
      </c>
      <c r="AJ15" s="5" t="s">
        <v>111</v>
      </c>
      <c r="AK15" s="5">
        <v>287660</v>
      </c>
      <c r="AL15" s="5" t="s">
        <v>178</v>
      </c>
      <c r="AM15" s="5" t="s">
        <v>123</v>
      </c>
      <c r="AN15" s="5" t="s">
        <v>100</v>
      </c>
      <c r="AO15" s="5">
        <v>100</v>
      </c>
      <c r="AP15" s="5" t="s">
        <v>113</v>
      </c>
      <c r="AQ15" s="5" t="s">
        <v>125</v>
      </c>
      <c r="AR15" s="5" t="s">
        <v>100</v>
      </c>
      <c r="AS15" s="5">
        <v>0</v>
      </c>
      <c r="AT15" s="5" t="s">
        <v>179</v>
      </c>
      <c r="AU15" s="5" t="s">
        <v>180</v>
      </c>
    </row>
    <row r="16" spans="1:47" x14ac:dyDescent="0.35">
      <c r="A16" s="12">
        <v>8</v>
      </c>
      <c r="B16" s="6" t="s">
        <v>181</v>
      </c>
      <c r="C16" s="5" t="s">
        <v>100</v>
      </c>
      <c r="D16" s="5" t="s">
        <v>182</v>
      </c>
      <c r="E16" s="5" t="s">
        <v>102</v>
      </c>
      <c r="F16" s="5" t="s">
        <v>103</v>
      </c>
      <c r="G16" s="5" t="s">
        <v>42</v>
      </c>
      <c r="H16" s="5" t="s">
        <v>104</v>
      </c>
      <c r="I16" s="5" t="s">
        <v>105</v>
      </c>
      <c r="J16" s="5" t="s">
        <v>119</v>
      </c>
      <c r="K16" s="5" t="s">
        <v>120</v>
      </c>
      <c r="L16" s="5">
        <v>340260</v>
      </c>
      <c r="M16" s="5">
        <v>354</v>
      </c>
      <c r="N16" s="5">
        <v>430</v>
      </c>
      <c r="O16" s="5">
        <v>1600</v>
      </c>
      <c r="P16" s="5">
        <v>1</v>
      </c>
      <c r="Q16" s="5">
        <v>3</v>
      </c>
      <c r="R16" s="5">
        <v>7625</v>
      </c>
      <c r="S16" s="5" t="s">
        <v>183</v>
      </c>
      <c r="T16" s="5" t="s">
        <v>109</v>
      </c>
      <c r="U16" s="5">
        <v>0</v>
      </c>
      <c r="V16" s="5">
        <v>0</v>
      </c>
      <c r="W16" s="5">
        <v>0</v>
      </c>
      <c r="X16" s="5">
        <v>0</v>
      </c>
      <c r="Y16" s="5">
        <v>78.53</v>
      </c>
      <c r="Z16" s="5">
        <v>278</v>
      </c>
      <c r="AI16" s="5" t="s">
        <v>110</v>
      </c>
      <c r="AJ16" s="5" t="s">
        <v>111</v>
      </c>
      <c r="AK16" s="5">
        <v>340260</v>
      </c>
      <c r="AL16" s="5" t="s">
        <v>130</v>
      </c>
      <c r="AM16" s="5" t="s">
        <v>184</v>
      </c>
      <c r="AN16" s="5" t="s">
        <v>185</v>
      </c>
      <c r="AO16" s="5">
        <v>354</v>
      </c>
      <c r="AP16" s="5" t="s">
        <v>113</v>
      </c>
      <c r="AQ16" s="5" t="s">
        <v>186</v>
      </c>
      <c r="AR16" s="5" t="s">
        <v>132</v>
      </c>
      <c r="AS16" s="5">
        <v>19</v>
      </c>
      <c r="AT16" s="5" t="s">
        <v>187</v>
      </c>
      <c r="AU16" s="5" t="s">
        <v>134</v>
      </c>
    </row>
    <row r="17" spans="1:47" x14ac:dyDescent="0.35">
      <c r="A17" s="12">
        <v>9</v>
      </c>
      <c r="B17" s="6" t="s">
        <v>188</v>
      </c>
      <c r="C17" s="5" t="s">
        <v>100</v>
      </c>
      <c r="D17" s="5" t="s">
        <v>189</v>
      </c>
      <c r="E17" s="5" t="s">
        <v>102</v>
      </c>
      <c r="F17" s="5" t="s">
        <v>103</v>
      </c>
      <c r="G17" s="5" t="s">
        <v>42</v>
      </c>
      <c r="H17" s="5" t="s">
        <v>104</v>
      </c>
      <c r="I17" s="5" t="s">
        <v>105</v>
      </c>
      <c r="J17" s="5" t="s">
        <v>119</v>
      </c>
      <c r="K17" s="5" t="s">
        <v>120</v>
      </c>
      <c r="L17" s="5">
        <v>388550</v>
      </c>
      <c r="M17" s="5">
        <v>390</v>
      </c>
      <c r="N17" s="5">
        <v>530</v>
      </c>
      <c r="O17" s="5">
        <v>1550</v>
      </c>
      <c r="P17" s="5">
        <v>1</v>
      </c>
      <c r="Q17" s="5">
        <v>3</v>
      </c>
      <c r="R17" s="5">
        <v>7850</v>
      </c>
      <c r="S17" s="5" t="s">
        <v>190</v>
      </c>
      <c r="T17" s="5" t="s">
        <v>109</v>
      </c>
      <c r="U17" s="5">
        <v>0</v>
      </c>
      <c r="V17" s="5">
        <v>0</v>
      </c>
      <c r="W17" s="5">
        <v>0</v>
      </c>
      <c r="X17" s="5">
        <v>0</v>
      </c>
      <c r="Y17" s="5">
        <v>42.56</v>
      </c>
      <c r="Z17" s="5">
        <v>166</v>
      </c>
      <c r="AI17" s="5" t="s">
        <v>110</v>
      </c>
      <c r="AJ17" s="5" t="s">
        <v>111</v>
      </c>
      <c r="AK17" s="5">
        <v>388550</v>
      </c>
      <c r="AL17" s="5" t="s">
        <v>169</v>
      </c>
      <c r="AM17" s="5" t="s">
        <v>156</v>
      </c>
      <c r="AN17" s="5" t="s">
        <v>100</v>
      </c>
      <c r="AO17" s="5">
        <v>390</v>
      </c>
      <c r="AP17" s="5" t="s">
        <v>113</v>
      </c>
      <c r="AQ17" s="5" t="s">
        <v>191</v>
      </c>
      <c r="AR17" s="5" t="s">
        <v>132</v>
      </c>
      <c r="AS17" s="5">
        <v>0</v>
      </c>
      <c r="AT17" s="5" t="s">
        <v>192</v>
      </c>
      <c r="AU17" s="5" t="s">
        <v>193</v>
      </c>
    </row>
    <row r="18" spans="1:47" x14ac:dyDescent="0.35">
      <c r="A18" s="12">
        <v>10</v>
      </c>
      <c r="B18" s="6" t="s">
        <v>194</v>
      </c>
      <c r="C18" s="5" t="s">
        <v>100</v>
      </c>
      <c r="D18" s="5" t="s">
        <v>195</v>
      </c>
      <c r="E18" s="5" t="s">
        <v>102</v>
      </c>
      <c r="F18" s="5" t="s">
        <v>103</v>
      </c>
      <c r="G18" s="5" t="s">
        <v>42</v>
      </c>
      <c r="H18" s="5" t="s">
        <v>104</v>
      </c>
      <c r="I18" s="5" t="s">
        <v>105</v>
      </c>
      <c r="J18" s="5" t="s">
        <v>119</v>
      </c>
      <c r="K18" s="5" t="s">
        <v>120</v>
      </c>
      <c r="L18" s="5">
        <v>1053543</v>
      </c>
      <c r="M18" s="5">
        <v>956</v>
      </c>
      <c r="N18" s="5">
        <v>650</v>
      </c>
      <c r="O18" s="5">
        <v>1400</v>
      </c>
      <c r="P18" s="5">
        <v>1</v>
      </c>
      <c r="Q18" s="5">
        <v>3</v>
      </c>
      <c r="R18" s="5">
        <v>6342</v>
      </c>
      <c r="S18" s="5" t="s">
        <v>196</v>
      </c>
      <c r="T18" s="5" t="s">
        <v>197</v>
      </c>
      <c r="U18" s="5">
        <v>0</v>
      </c>
      <c r="V18" s="5">
        <v>0</v>
      </c>
      <c r="W18" s="5">
        <v>0</v>
      </c>
      <c r="X18" s="5">
        <v>0</v>
      </c>
      <c r="Y18" s="5">
        <v>96.23</v>
      </c>
      <c r="Z18" s="5">
        <v>920</v>
      </c>
      <c r="AI18" s="5" t="s">
        <v>110</v>
      </c>
      <c r="AJ18" s="5" t="s">
        <v>111</v>
      </c>
      <c r="AK18" s="5">
        <v>1053543</v>
      </c>
      <c r="AL18" s="5" t="s">
        <v>122</v>
      </c>
      <c r="AM18" s="5" t="s">
        <v>198</v>
      </c>
      <c r="AN18" s="5" t="s">
        <v>100</v>
      </c>
      <c r="AO18" s="5">
        <v>956</v>
      </c>
      <c r="AP18" s="5" t="s">
        <v>113</v>
      </c>
      <c r="AQ18" s="5" t="s">
        <v>199</v>
      </c>
      <c r="AR18" s="5" t="s">
        <v>200</v>
      </c>
      <c r="AS18" s="5">
        <v>0</v>
      </c>
    </row>
    <row r="19" spans="1:47" x14ac:dyDescent="0.35">
      <c r="A19" s="12">
        <v>11</v>
      </c>
      <c r="B19" s="6" t="s">
        <v>201</v>
      </c>
      <c r="C19" s="5" t="s">
        <v>100</v>
      </c>
      <c r="D19" s="5" t="s">
        <v>195</v>
      </c>
      <c r="E19" s="5" t="s">
        <v>102</v>
      </c>
      <c r="F19" s="5" t="s">
        <v>103</v>
      </c>
      <c r="G19" s="5" t="s">
        <v>42</v>
      </c>
      <c r="H19" s="5" t="s">
        <v>104</v>
      </c>
      <c r="I19" s="5" t="s">
        <v>105</v>
      </c>
      <c r="J19" s="5" t="s">
        <v>119</v>
      </c>
      <c r="K19" s="5" t="s">
        <v>120</v>
      </c>
      <c r="L19" s="5">
        <v>363636</v>
      </c>
      <c r="M19" s="5">
        <v>581</v>
      </c>
      <c r="N19" s="5">
        <v>539</v>
      </c>
      <c r="O19" s="5">
        <v>1900</v>
      </c>
      <c r="P19" s="5">
        <v>1</v>
      </c>
      <c r="Q19" s="5">
        <v>4</v>
      </c>
      <c r="R19" s="5">
        <v>8581</v>
      </c>
      <c r="S19" s="5" t="s">
        <v>202</v>
      </c>
      <c r="T19" s="5" t="s">
        <v>203</v>
      </c>
      <c r="U19" s="5">
        <v>0</v>
      </c>
      <c r="V19" s="5">
        <v>0</v>
      </c>
      <c r="W19" s="5">
        <v>0</v>
      </c>
      <c r="X19" s="5">
        <v>0</v>
      </c>
      <c r="Y19" s="5">
        <v>99.14</v>
      </c>
      <c r="Z19" s="5">
        <v>576</v>
      </c>
      <c r="AI19" s="5" t="s">
        <v>110</v>
      </c>
      <c r="AJ19" s="5" t="s">
        <v>111</v>
      </c>
      <c r="AK19" s="5">
        <v>363636</v>
      </c>
      <c r="AL19" s="5" t="s">
        <v>204</v>
      </c>
      <c r="AM19" s="5" t="s">
        <v>205</v>
      </c>
      <c r="AN19" s="5" t="s">
        <v>100</v>
      </c>
      <c r="AO19" s="5">
        <v>581</v>
      </c>
      <c r="AP19" s="5" t="s">
        <v>113</v>
      </c>
      <c r="AQ19" s="5" t="s">
        <v>125</v>
      </c>
      <c r="AR19" s="5" t="s">
        <v>200</v>
      </c>
      <c r="AS19" s="5">
        <v>0</v>
      </c>
      <c r="AT19" s="5" t="s">
        <v>206</v>
      </c>
      <c r="AU19" s="5" t="s">
        <v>207</v>
      </c>
    </row>
    <row r="20" spans="1:47" x14ac:dyDescent="0.35">
      <c r="A20" s="12">
        <v>12</v>
      </c>
      <c r="B20" s="6" t="s">
        <v>208</v>
      </c>
      <c r="C20" s="5" t="s">
        <v>100</v>
      </c>
      <c r="D20" s="5" t="s">
        <v>209</v>
      </c>
      <c r="E20" s="5" t="s">
        <v>102</v>
      </c>
      <c r="F20" s="5" t="s">
        <v>103</v>
      </c>
      <c r="G20" s="5" t="s">
        <v>42</v>
      </c>
      <c r="H20" s="5" t="s">
        <v>104</v>
      </c>
      <c r="I20" s="5" t="s">
        <v>105</v>
      </c>
      <c r="J20" s="5" t="s">
        <v>210</v>
      </c>
      <c r="L20" s="5">
        <v>213422</v>
      </c>
      <c r="M20" s="5">
        <v>152</v>
      </c>
      <c r="N20" s="5">
        <v>820</v>
      </c>
      <c r="O20" s="5">
        <v>2937</v>
      </c>
      <c r="P20" s="5">
        <v>0</v>
      </c>
      <c r="Q20" s="5">
        <v>0</v>
      </c>
      <c r="R20" s="5">
        <v>3950</v>
      </c>
      <c r="S20" s="5" t="s">
        <v>211</v>
      </c>
      <c r="T20" s="5" t="s">
        <v>109</v>
      </c>
      <c r="U20" s="5">
        <v>0</v>
      </c>
      <c r="V20" s="5">
        <v>0</v>
      </c>
      <c r="W20" s="5">
        <v>0</v>
      </c>
      <c r="X20" s="5">
        <v>0</v>
      </c>
      <c r="Y20" s="5">
        <v>99.34</v>
      </c>
      <c r="Z20" s="5">
        <v>151</v>
      </c>
      <c r="AI20" s="5" t="s">
        <v>110</v>
      </c>
      <c r="AJ20" s="5" t="s">
        <v>111</v>
      </c>
      <c r="AK20" s="5">
        <v>213422</v>
      </c>
      <c r="AL20" s="5" t="s">
        <v>148</v>
      </c>
      <c r="AM20" s="5" t="s">
        <v>212</v>
      </c>
      <c r="AN20" s="5" t="s">
        <v>213</v>
      </c>
      <c r="AO20" s="5">
        <v>152</v>
      </c>
      <c r="AQ20" s="5" t="s">
        <v>144</v>
      </c>
      <c r="AR20" s="5" t="s">
        <v>100</v>
      </c>
      <c r="AS20" s="5">
        <v>5</v>
      </c>
      <c r="AT20" s="5" t="s">
        <v>214</v>
      </c>
      <c r="AU20" s="5" t="s">
        <v>215</v>
      </c>
    </row>
    <row r="21" spans="1:47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 spans="1:47" x14ac:dyDescent="0.35">
      <c r="B22" s="8" t="s">
        <v>216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pans="1:47" x14ac:dyDescent="0.35">
      <c r="B23" s="8" t="s">
        <v>217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</sheetData>
  <mergeCells count="3">
    <mergeCell ref="B21:AU21"/>
    <mergeCell ref="B22:AU22"/>
    <mergeCell ref="B23:AU2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8"/>
  <sheetViews>
    <sheetView workbookViewId="0">
      <selection activeCell="C3" sqref="C3"/>
    </sheetView>
  </sheetViews>
  <sheetFormatPr defaultRowHeight="14.5" x14ac:dyDescent="0.35"/>
  <cols>
    <col min="1" max="1" width="9.1796875" customWidth="1"/>
    <col min="2" max="2" width="9.08984375" bestFit="1" customWidth="1"/>
    <col min="3" max="4" width="25.54296875" customWidth="1"/>
    <col min="5" max="5" width="14.36328125" customWidth="1"/>
    <col min="6" max="6" width="7.26953125" customWidth="1"/>
  </cols>
  <sheetData>
    <row r="2" spans="2:6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35">
      <c r="B3" s="2">
        <v>44896</v>
      </c>
      <c r="C3" s="3"/>
      <c r="D3" s="3"/>
      <c r="E3" s="3"/>
      <c r="F3" s="3"/>
    </row>
    <row r="4" spans="2:6" x14ac:dyDescent="0.35">
      <c r="B4" s="2">
        <v>44927</v>
      </c>
      <c r="C4" s="3">
        <v>250</v>
      </c>
      <c r="D4" s="3"/>
      <c r="E4" s="3">
        <v>152</v>
      </c>
      <c r="F4" s="3">
        <v>402</v>
      </c>
    </row>
    <row r="5" spans="2:6" x14ac:dyDescent="0.35">
      <c r="B5" s="2">
        <v>44958</v>
      </c>
      <c r="C5" s="3"/>
      <c r="D5" s="3"/>
      <c r="E5" s="3"/>
      <c r="F5" s="3"/>
    </row>
    <row r="6" spans="2:6" x14ac:dyDescent="0.35">
      <c r="B6" s="2">
        <v>44986</v>
      </c>
      <c r="C6" s="3"/>
      <c r="D6" s="3"/>
      <c r="E6" s="3"/>
      <c r="F6" s="3"/>
    </row>
    <row r="7" spans="2:6" x14ac:dyDescent="0.35">
      <c r="B7" s="2">
        <v>45017</v>
      </c>
      <c r="C7" s="3"/>
      <c r="D7" s="3"/>
      <c r="E7" s="3"/>
      <c r="F7" s="3"/>
    </row>
    <row r="8" spans="2:6" x14ac:dyDescent="0.35">
      <c r="B8" s="2">
        <v>45047</v>
      </c>
      <c r="C8" s="3"/>
      <c r="D8" s="3"/>
      <c r="E8" s="3"/>
      <c r="F8" s="3"/>
    </row>
    <row r="9" spans="2:6" x14ac:dyDescent="0.35">
      <c r="B9" s="2">
        <v>45078</v>
      </c>
      <c r="C9" s="3"/>
      <c r="D9" s="3"/>
      <c r="E9" s="3"/>
      <c r="F9" s="3"/>
    </row>
    <row r="10" spans="2:6" x14ac:dyDescent="0.35">
      <c r="B10" s="2">
        <v>45108</v>
      </c>
      <c r="C10" s="3">
        <v>1591</v>
      </c>
      <c r="D10" s="3"/>
      <c r="E10" s="3"/>
      <c r="F10" s="3">
        <v>1591</v>
      </c>
    </row>
    <row r="11" spans="2:6" x14ac:dyDescent="0.35">
      <c r="B11" s="2">
        <v>45139</v>
      </c>
      <c r="C11" s="3"/>
      <c r="D11" s="3"/>
      <c r="E11" s="3"/>
      <c r="F11" s="3"/>
    </row>
    <row r="12" spans="2:6" x14ac:dyDescent="0.35">
      <c r="B12" s="2">
        <v>45170</v>
      </c>
      <c r="C12" s="3"/>
      <c r="D12" s="3"/>
      <c r="E12" s="3"/>
      <c r="F12" s="3"/>
    </row>
    <row r="13" spans="2:6" x14ac:dyDescent="0.35">
      <c r="B13" s="2">
        <v>45200</v>
      </c>
      <c r="C13" s="3"/>
      <c r="D13" s="3"/>
      <c r="E13" s="3"/>
      <c r="F13" s="3"/>
    </row>
    <row r="14" spans="2:6" x14ac:dyDescent="0.35">
      <c r="B14" s="2">
        <v>45231</v>
      </c>
      <c r="C14" s="3">
        <v>1512</v>
      </c>
      <c r="D14" s="3"/>
      <c r="E14" s="3"/>
      <c r="F14" s="3">
        <v>1512</v>
      </c>
    </row>
    <row r="15" spans="2:6" x14ac:dyDescent="0.35">
      <c r="B15" s="2">
        <v>45261</v>
      </c>
      <c r="C15" s="3"/>
      <c r="D15" s="3"/>
      <c r="E15" s="3"/>
      <c r="F15" s="3"/>
    </row>
    <row r="16" spans="2:6" x14ac:dyDescent="0.35">
      <c r="B16" s="2">
        <v>45292</v>
      </c>
      <c r="C16" s="3">
        <v>349</v>
      </c>
      <c r="D16" s="3"/>
      <c r="E16" s="3"/>
      <c r="F16" s="3">
        <v>349</v>
      </c>
    </row>
    <row r="17" spans="2:6" x14ac:dyDescent="0.35">
      <c r="B17" s="2">
        <v>45323</v>
      </c>
      <c r="C17" s="3">
        <v>1228</v>
      </c>
      <c r="D17" s="3"/>
      <c r="E17" s="3"/>
      <c r="F17" s="3">
        <v>1228</v>
      </c>
    </row>
    <row r="18" spans="2:6" x14ac:dyDescent="0.35">
      <c r="B18" s="2">
        <v>45352</v>
      </c>
      <c r="C18" s="3"/>
      <c r="D18" s="3"/>
      <c r="E18" s="3"/>
      <c r="F18" s="3"/>
    </row>
    <row r="19" spans="2:6" x14ac:dyDescent="0.35">
      <c r="B19" s="2">
        <v>45383</v>
      </c>
      <c r="C19" s="3"/>
      <c r="D19" s="3"/>
      <c r="E19" s="3"/>
      <c r="F19" s="3"/>
    </row>
    <row r="20" spans="2:6" x14ac:dyDescent="0.35">
      <c r="B20" s="2">
        <v>45413</v>
      </c>
      <c r="C20" s="3">
        <v>948</v>
      </c>
      <c r="D20" s="3"/>
      <c r="E20" s="3"/>
      <c r="F20" s="3">
        <v>948</v>
      </c>
    </row>
    <row r="21" spans="2:6" x14ac:dyDescent="0.35">
      <c r="B21" s="2">
        <v>45444</v>
      </c>
      <c r="C21" s="3"/>
      <c r="D21" s="3"/>
      <c r="E21" s="3"/>
      <c r="F21" s="3"/>
    </row>
    <row r="22" spans="2:6" x14ac:dyDescent="0.35">
      <c r="B22" s="2">
        <v>45474</v>
      </c>
      <c r="C22" s="3"/>
      <c r="D22" s="3"/>
      <c r="E22" s="3"/>
      <c r="F22" s="3"/>
    </row>
    <row r="23" spans="2:6" x14ac:dyDescent="0.35">
      <c r="B23" s="2">
        <v>45505</v>
      </c>
      <c r="C23" s="3">
        <v>800</v>
      </c>
      <c r="D23" s="3"/>
      <c r="E23" s="3"/>
      <c r="F23" s="3">
        <v>800</v>
      </c>
    </row>
    <row r="24" spans="2:6" x14ac:dyDescent="0.35">
      <c r="B24" s="2">
        <v>45536</v>
      </c>
      <c r="C24" s="3"/>
      <c r="D24" s="3"/>
      <c r="E24" s="3"/>
      <c r="F24" s="3"/>
    </row>
    <row r="25" spans="2:6" x14ac:dyDescent="0.35">
      <c r="B25" s="2">
        <v>45566</v>
      </c>
      <c r="C25" s="3">
        <v>2076</v>
      </c>
      <c r="D25" s="3"/>
      <c r="E25" s="3"/>
      <c r="F25" s="3">
        <v>2076</v>
      </c>
    </row>
    <row r="26" spans="2:6" x14ac:dyDescent="0.35">
      <c r="B26" s="2">
        <v>45597</v>
      </c>
      <c r="C26" s="3"/>
      <c r="D26" s="3"/>
      <c r="E26" s="3"/>
      <c r="F26" s="3"/>
    </row>
    <row r="27" spans="2:6" x14ac:dyDescent="0.35">
      <c r="B27" s="2">
        <v>45627</v>
      </c>
      <c r="C27" s="3">
        <v>581</v>
      </c>
      <c r="D27" s="3"/>
      <c r="E27" s="3"/>
      <c r="F27" s="3">
        <v>581</v>
      </c>
    </row>
    <row r="28" spans="2:6" x14ac:dyDescent="0.35">
      <c r="B28" s="2">
        <v>45658</v>
      </c>
      <c r="C28" s="3"/>
      <c r="D28" s="3"/>
      <c r="E28" s="3"/>
      <c r="F28" s="3"/>
    </row>
    <row r="29" spans="2:6" x14ac:dyDescent="0.35">
      <c r="B29" s="2">
        <v>45689</v>
      </c>
      <c r="C29" s="3"/>
      <c r="D29" s="3"/>
      <c r="E29" s="3"/>
      <c r="F29" s="3"/>
    </row>
    <row r="30" spans="2:6" x14ac:dyDescent="0.35">
      <c r="B30" s="2">
        <v>45717</v>
      </c>
      <c r="C30" s="3">
        <v>100</v>
      </c>
      <c r="D30" s="3"/>
      <c r="E30" s="3"/>
      <c r="F30" s="3">
        <v>100</v>
      </c>
    </row>
    <row r="31" spans="2:6" x14ac:dyDescent="0.35">
      <c r="B31" s="2">
        <v>45748</v>
      </c>
      <c r="C31" s="3"/>
      <c r="D31" s="3"/>
      <c r="E31" s="3"/>
      <c r="F31" s="3"/>
    </row>
    <row r="32" spans="2:6" x14ac:dyDescent="0.35">
      <c r="B32" s="2">
        <v>45778</v>
      </c>
      <c r="C32" s="3"/>
      <c r="D32" s="3"/>
      <c r="E32" s="3"/>
      <c r="F32" s="3"/>
    </row>
    <row r="33" spans="2:6" x14ac:dyDescent="0.35">
      <c r="B33" s="2">
        <v>45809</v>
      </c>
      <c r="C33" s="3"/>
      <c r="D33" s="3"/>
      <c r="E33" s="3"/>
      <c r="F33" s="3"/>
    </row>
    <row r="34" spans="2:6" x14ac:dyDescent="0.35">
      <c r="B34" s="2">
        <v>45839</v>
      </c>
      <c r="C34" s="3"/>
      <c r="D34" s="3"/>
      <c r="E34" s="3"/>
      <c r="F34" s="3"/>
    </row>
    <row r="35" spans="2:6" x14ac:dyDescent="0.35">
      <c r="B35" s="2">
        <v>45870</v>
      </c>
      <c r="C35" s="3">
        <v>500</v>
      </c>
      <c r="D35" s="3"/>
      <c r="E35" s="3"/>
      <c r="F35" s="3">
        <v>500</v>
      </c>
    </row>
    <row r="36" spans="2:6" x14ac:dyDescent="0.35">
      <c r="B36" s="2">
        <v>45901</v>
      </c>
      <c r="C36" s="3"/>
      <c r="D36" s="3"/>
      <c r="E36" s="3"/>
      <c r="F36" s="3"/>
    </row>
    <row r="37" spans="2:6" x14ac:dyDescent="0.35">
      <c r="B37" s="2">
        <v>45931</v>
      </c>
      <c r="C37" s="3"/>
      <c r="D37" s="3"/>
      <c r="E37" s="3"/>
      <c r="F37" s="3"/>
    </row>
    <row r="38" spans="2:6" x14ac:dyDescent="0.35">
      <c r="B38" s="2">
        <v>45962</v>
      </c>
      <c r="C38" s="3"/>
      <c r="D38" s="3">
        <v>196</v>
      </c>
      <c r="E38" s="3"/>
      <c r="F38" s="3">
        <v>196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7892-46CD-42D0-AB99-4A500290BF05}">
  <dimension ref="B2:N15"/>
  <sheetViews>
    <sheetView workbookViewId="0">
      <selection activeCell="B4" sqref="B4"/>
    </sheetView>
  </sheetViews>
  <sheetFormatPr defaultRowHeight="14.5" x14ac:dyDescent="0.35"/>
  <cols>
    <col min="1" max="1" width="9.1796875" customWidth="1"/>
    <col min="2" max="2" width="9.7265625" customWidth="1"/>
    <col min="3" max="3" width="9" customWidth="1"/>
    <col min="4" max="4" width="12.81640625" customWidth="1"/>
    <col min="5" max="5" width="13" customWidth="1"/>
    <col min="6" max="6" width="9" customWidth="1"/>
    <col min="7" max="7" width="12.81640625" customWidth="1"/>
    <col min="8" max="8" width="13" customWidth="1"/>
    <col min="9" max="9" width="9" customWidth="1"/>
    <col min="10" max="10" width="12.81640625" customWidth="1"/>
    <col min="11" max="11" width="13" customWidth="1"/>
    <col min="12" max="12" width="9" customWidth="1"/>
    <col min="13" max="13" width="12.81640625" customWidth="1"/>
    <col min="14" max="14" width="13" customWidth="1"/>
  </cols>
  <sheetData>
    <row r="2" spans="2:14" x14ac:dyDescent="0.35">
      <c r="B2" s="4" t="s">
        <v>0</v>
      </c>
      <c r="C2" s="4" t="s">
        <v>1</v>
      </c>
      <c r="D2" s="4"/>
      <c r="E2" s="4"/>
      <c r="F2" s="4" t="s">
        <v>2</v>
      </c>
      <c r="G2" s="4"/>
      <c r="H2" s="4"/>
      <c r="I2" s="4" t="s">
        <v>3</v>
      </c>
      <c r="J2" s="4"/>
      <c r="K2" s="4"/>
      <c r="L2" s="4" t="s">
        <v>11</v>
      </c>
      <c r="M2" s="4"/>
      <c r="N2" s="4"/>
    </row>
    <row r="3" spans="2:14" x14ac:dyDescent="0.35">
      <c r="B3" s="4"/>
      <c r="C3" s="1" t="s">
        <v>12</v>
      </c>
      <c r="D3" s="1" t="s">
        <v>13</v>
      </c>
      <c r="E3" s="1" t="s">
        <v>14</v>
      </c>
      <c r="F3" s="1" t="s">
        <v>12</v>
      </c>
      <c r="G3" s="1" t="s">
        <v>13</v>
      </c>
      <c r="H3" s="1" t="s">
        <v>15</v>
      </c>
      <c r="I3" s="1" t="s">
        <v>12</v>
      </c>
      <c r="J3" s="1" t="s">
        <v>13</v>
      </c>
      <c r="K3" s="1" t="s">
        <v>15</v>
      </c>
      <c r="L3" s="1" t="s">
        <v>12</v>
      </c>
      <c r="M3" s="1" t="s">
        <v>13</v>
      </c>
      <c r="N3" s="1" t="s">
        <v>14</v>
      </c>
    </row>
    <row r="4" spans="2:14" x14ac:dyDescent="0.35">
      <c r="B4" s="2">
        <v>44927</v>
      </c>
      <c r="C4" s="3">
        <v>250</v>
      </c>
      <c r="D4" s="3">
        <v>250</v>
      </c>
      <c r="E4" s="3"/>
      <c r="F4" s="3"/>
      <c r="G4" s="3"/>
      <c r="H4" s="3"/>
      <c r="I4" s="3">
        <v>152</v>
      </c>
      <c r="J4" s="3">
        <v>151</v>
      </c>
      <c r="K4" s="3">
        <v>1</v>
      </c>
      <c r="L4" s="3">
        <v>402</v>
      </c>
      <c r="M4" s="3">
        <v>401</v>
      </c>
      <c r="N4" s="3">
        <v>1</v>
      </c>
    </row>
    <row r="5" spans="2:14" x14ac:dyDescent="0.35">
      <c r="B5" s="2">
        <v>45108</v>
      </c>
      <c r="C5" s="3">
        <v>1591</v>
      </c>
      <c r="D5" s="3">
        <v>1555</v>
      </c>
      <c r="E5" s="3">
        <v>36</v>
      </c>
      <c r="F5" s="3"/>
      <c r="G5" s="3"/>
      <c r="H5" s="3"/>
      <c r="I5" s="3"/>
      <c r="J5" s="3"/>
      <c r="K5" s="3"/>
      <c r="L5" s="3">
        <v>1591</v>
      </c>
      <c r="M5" s="3">
        <v>1555</v>
      </c>
      <c r="N5" s="3">
        <v>36</v>
      </c>
    </row>
    <row r="6" spans="2:14" x14ac:dyDescent="0.35">
      <c r="B6" s="2">
        <v>45231</v>
      </c>
      <c r="C6" s="3">
        <v>1512</v>
      </c>
      <c r="D6" s="3">
        <v>1452</v>
      </c>
      <c r="E6" s="3">
        <v>60</v>
      </c>
      <c r="F6" s="3"/>
      <c r="G6" s="3"/>
      <c r="H6" s="3"/>
      <c r="I6" s="3"/>
      <c r="J6" s="3"/>
      <c r="K6" s="3"/>
      <c r="L6" s="3">
        <v>1512</v>
      </c>
      <c r="M6" s="3">
        <v>1452</v>
      </c>
      <c r="N6" s="3">
        <v>60</v>
      </c>
    </row>
    <row r="7" spans="2:14" x14ac:dyDescent="0.35">
      <c r="B7" s="2">
        <v>45292</v>
      </c>
      <c r="C7" s="3">
        <v>349</v>
      </c>
      <c r="D7" s="3">
        <v>225</v>
      </c>
      <c r="E7" s="3">
        <v>124</v>
      </c>
      <c r="F7" s="3"/>
      <c r="G7" s="3"/>
      <c r="H7" s="3"/>
      <c r="I7" s="3"/>
      <c r="J7" s="3"/>
      <c r="K7" s="3"/>
      <c r="L7" s="3">
        <v>349</v>
      </c>
      <c r="M7" s="3">
        <v>225</v>
      </c>
      <c r="N7" s="3">
        <v>124</v>
      </c>
    </row>
    <row r="8" spans="2:14" x14ac:dyDescent="0.35">
      <c r="B8" s="2">
        <v>45323</v>
      </c>
      <c r="C8" s="3">
        <v>1228</v>
      </c>
      <c r="D8" s="3">
        <v>997</v>
      </c>
      <c r="E8" s="3">
        <v>231</v>
      </c>
      <c r="F8" s="3"/>
      <c r="G8" s="3"/>
      <c r="H8" s="3"/>
      <c r="I8" s="3"/>
      <c r="J8" s="3"/>
      <c r="K8" s="3"/>
      <c r="L8" s="3">
        <v>1228</v>
      </c>
      <c r="M8" s="3">
        <v>997</v>
      </c>
      <c r="N8" s="3">
        <v>231</v>
      </c>
    </row>
    <row r="9" spans="2:14" x14ac:dyDescent="0.35">
      <c r="B9" s="2">
        <v>45413</v>
      </c>
      <c r="C9" s="3">
        <v>948</v>
      </c>
      <c r="D9" s="3">
        <v>948</v>
      </c>
      <c r="E9" s="3"/>
      <c r="F9" s="3"/>
      <c r="G9" s="3"/>
      <c r="H9" s="3"/>
      <c r="I9" s="3"/>
      <c r="J9" s="3"/>
      <c r="K9" s="3"/>
      <c r="L9" s="3">
        <v>948</v>
      </c>
      <c r="M9" s="3">
        <v>948</v>
      </c>
      <c r="N9" s="3"/>
    </row>
    <row r="10" spans="2:14" x14ac:dyDescent="0.35">
      <c r="B10" s="2">
        <v>45505</v>
      </c>
      <c r="C10" s="3">
        <v>800</v>
      </c>
      <c r="D10" s="3">
        <v>800</v>
      </c>
      <c r="E10" s="3"/>
      <c r="F10" s="3"/>
      <c r="G10" s="3"/>
      <c r="H10" s="3"/>
      <c r="I10" s="3"/>
      <c r="J10" s="3"/>
      <c r="K10" s="3"/>
      <c r="L10" s="3">
        <v>800</v>
      </c>
      <c r="M10" s="3">
        <v>800</v>
      </c>
      <c r="N10" s="3"/>
    </row>
    <row r="11" spans="2:14" x14ac:dyDescent="0.35">
      <c r="B11" s="2">
        <v>45566</v>
      </c>
      <c r="C11" s="3">
        <v>2076</v>
      </c>
      <c r="D11" s="3">
        <v>1516</v>
      </c>
      <c r="E11" s="3">
        <v>560</v>
      </c>
      <c r="F11" s="3"/>
      <c r="G11" s="3"/>
      <c r="H11" s="3"/>
      <c r="I11" s="3"/>
      <c r="J11" s="3"/>
      <c r="K11" s="3"/>
      <c r="L11" s="3">
        <v>2076</v>
      </c>
      <c r="M11" s="3">
        <v>1516</v>
      </c>
      <c r="N11" s="3">
        <v>560</v>
      </c>
    </row>
    <row r="12" spans="2:14" x14ac:dyDescent="0.35">
      <c r="B12" s="2">
        <v>45627</v>
      </c>
      <c r="C12" s="3">
        <v>581</v>
      </c>
      <c r="D12" s="3">
        <v>576</v>
      </c>
      <c r="E12" s="3">
        <v>5</v>
      </c>
      <c r="F12" s="3"/>
      <c r="G12" s="3"/>
      <c r="H12" s="3"/>
      <c r="I12" s="3"/>
      <c r="J12" s="3"/>
      <c r="K12" s="3"/>
      <c r="L12" s="3">
        <v>581</v>
      </c>
      <c r="M12" s="3">
        <v>576</v>
      </c>
      <c r="N12" s="3">
        <v>5</v>
      </c>
    </row>
    <row r="13" spans="2:14" x14ac:dyDescent="0.35">
      <c r="B13" s="2">
        <v>45717</v>
      </c>
      <c r="C13" s="3">
        <v>100</v>
      </c>
      <c r="D13" s="3">
        <v>17</v>
      </c>
      <c r="E13" s="3">
        <v>83</v>
      </c>
      <c r="F13" s="3"/>
      <c r="G13" s="3"/>
      <c r="H13" s="3"/>
      <c r="I13" s="3"/>
      <c r="J13" s="3"/>
      <c r="K13" s="3"/>
      <c r="L13" s="3">
        <v>100</v>
      </c>
      <c r="M13" s="3">
        <v>17</v>
      </c>
      <c r="N13" s="3">
        <v>83</v>
      </c>
    </row>
    <row r="14" spans="2:14" x14ac:dyDescent="0.35">
      <c r="B14" s="2">
        <v>45870</v>
      </c>
      <c r="C14" s="3">
        <v>500</v>
      </c>
      <c r="D14" s="3">
        <v>33</v>
      </c>
      <c r="E14" s="3">
        <v>467</v>
      </c>
      <c r="F14" s="3"/>
      <c r="G14" s="3"/>
      <c r="H14" s="3"/>
      <c r="I14" s="3"/>
      <c r="J14" s="3"/>
      <c r="K14" s="3"/>
      <c r="L14" s="3">
        <v>500</v>
      </c>
      <c r="M14" s="3">
        <v>33</v>
      </c>
      <c r="N14" s="3">
        <v>467</v>
      </c>
    </row>
    <row r="15" spans="2:14" x14ac:dyDescent="0.35">
      <c r="B15" s="2">
        <v>45962</v>
      </c>
      <c r="C15" s="3"/>
      <c r="D15" s="3"/>
      <c r="E15" s="3"/>
      <c r="F15" s="3">
        <v>196</v>
      </c>
      <c r="G15" s="3">
        <v>22</v>
      </c>
      <c r="H15" s="3">
        <v>174</v>
      </c>
      <c r="I15" s="3"/>
      <c r="J15" s="3"/>
      <c r="K15" s="3"/>
      <c r="L15" s="3">
        <v>196</v>
      </c>
      <c r="M15" s="3">
        <v>22</v>
      </c>
      <c r="N15" s="3">
        <v>174</v>
      </c>
    </row>
  </sheetData>
  <mergeCells count="5">
    <mergeCell ref="L2:N2"/>
    <mergeCell ref="B2:B3"/>
    <mergeCell ref="C2:E2"/>
    <mergeCell ref="F2:H2"/>
    <mergeCell ref="I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BCBF-6154-4E3C-BD6B-DA8E1FB7CCD2}">
  <dimension ref="A1:D13"/>
  <sheetViews>
    <sheetView workbookViewId="0">
      <selection activeCell="A6" sqref="A6"/>
    </sheetView>
  </sheetViews>
  <sheetFormatPr defaultRowHeight="14.5" x14ac:dyDescent="0.35"/>
  <cols>
    <col min="1" max="1" width="7.81640625" bestFit="1" customWidth="1"/>
    <col min="2" max="2" width="28.81640625" bestFit="1" customWidth="1"/>
    <col min="3" max="3" width="27.26953125" bestFit="1" customWidth="1"/>
    <col min="4" max="4" width="31.6328125" bestFit="1" customWidth="1"/>
  </cols>
  <sheetData>
    <row r="1" spans="1:4" x14ac:dyDescent="0.35">
      <c r="A1" s="1" t="s">
        <v>0</v>
      </c>
      <c r="B1" s="1" t="s">
        <v>16</v>
      </c>
      <c r="C1" s="1" t="s">
        <v>17</v>
      </c>
      <c r="D1" s="1" t="s">
        <v>18</v>
      </c>
    </row>
    <row r="2" spans="1:4" x14ac:dyDescent="0.35">
      <c r="A2" s="3" t="s">
        <v>19</v>
      </c>
      <c r="B2" s="3">
        <v>4424</v>
      </c>
      <c r="C2" s="3">
        <v>4696</v>
      </c>
      <c r="D2" s="3">
        <v>4472</v>
      </c>
    </row>
    <row r="3" spans="1:4" x14ac:dyDescent="0.35">
      <c r="A3" s="3" t="s">
        <v>20</v>
      </c>
      <c r="B3" s="3"/>
      <c r="C3" s="3">
        <v>4997</v>
      </c>
      <c r="D3" s="3">
        <v>4425</v>
      </c>
    </row>
    <row r="4" spans="1:4" x14ac:dyDescent="0.35">
      <c r="A4" s="3" t="s">
        <v>21</v>
      </c>
      <c r="B4" s="3">
        <v>5850</v>
      </c>
      <c r="C4" s="3">
        <v>6091</v>
      </c>
      <c r="D4" s="3">
        <v>5989</v>
      </c>
    </row>
    <row r="5" spans="1:4" x14ac:dyDescent="0.35">
      <c r="A5" s="3" t="s">
        <v>22</v>
      </c>
      <c r="B5" s="3">
        <v>7537</v>
      </c>
      <c r="C5" s="3">
        <v>7077</v>
      </c>
      <c r="D5" s="3">
        <v>6948</v>
      </c>
    </row>
    <row r="6" spans="1:4" x14ac:dyDescent="0.35">
      <c r="A6" s="3" t="s">
        <v>23</v>
      </c>
      <c r="B6" s="3">
        <v>7972</v>
      </c>
      <c r="C6" s="3">
        <v>7649</v>
      </c>
      <c r="D6" s="3">
        <v>7666</v>
      </c>
    </row>
    <row r="7" spans="1:4" x14ac:dyDescent="0.35">
      <c r="A7" s="3" t="s">
        <v>24</v>
      </c>
      <c r="B7" s="3">
        <v>8860</v>
      </c>
      <c r="C7" s="3">
        <v>7852</v>
      </c>
      <c r="D7" s="3">
        <v>7947</v>
      </c>
    </row>
    <row r="8" spans="1:4" x14ac:dyDescent="0.35">
      <c r="A8" s="3" t="s">
        <v>25</v>
      </c>
      <c r="B8" s="3">
        <v>9345</v>
      </c>
      <c r="C8" s="3">
        <v>8443</v>
      </c>
      <c r="D8" s="3">
        <v>8590</v>
      </c>
    </row>
    <row r="9" spans="1:4" x14ac:dyDescent="0.35">
      <c r="A9" s="3" t="s">
        <v>26</v>
      </c>
      <c r="B9" s="3">
        <v>7739</v>
      </c>
      <c r="C9" s="3">
        <v>8020</v>
      </c>
      <c r="D9" s="3">
        <v>8283</v>
      </c>
    </row>
    <row r="10" spans="1:4" x14ac:dyDescent="0.35">
      <c r="A10" s="3" t="s">
        <v>27</v>
      </c>
      <c r="B10" s="3">
        <v>10500</v>
      </c>
      <c r="C10" s="3">
        <v>8328</v>
      </c>
      <c r="D10" s="3">
        <v>8530</v>
      </c>
    </row>
    <row r="11" spans="1:4" x14ac:dyDescent="0.35">
      <c r="A11" s="3" t="s">
        <v>28</v>
      </c>
      <c r="B11" s="3"/>
      <c r="C11" s="3">
        <v>8619</v>
      </c>
      <c r="D11" s="3">
        <v>8573</v>
      </c>
    </row>
    <row r="12" spans="1:4" x14ac:dyDescent="0.35">
      <c r="A12" s="3" t="s">
        <v>29</v>
      </c>
      <c r="B12" s="3">
        <v>7700</v>
      </c>
      <c r="C12" s="3">
        <v>8744</v>
      </c>
      <c r="D12" s="3">
        <v>8302</v>
      </c>
    </row>
    <row r="13" spans="1:4" x14ac:dyDescent="0.35">
      <c r="A13" s="3" t="s">
        <v>30</v>
      </c>
      <c r="B13" s="3">
        <v>17285</v>
      </c>
      <c r="C13" s="3">
        <v>11217</v>
      </c>
      <c r="D13" s="3">
        <v>10687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32A1-91CA-497A-A22B-87B3BD51D60E}">
  <dimension ref="B2:H37"/>
  <sheetViews>
    <sheetView workbookViewId="0">
      <selection activeCell="C3" sqref="C3"/>
    </sheetView>
  </sheetViews>
  <sheetFormatPr defaultRowHeight="14.5" x14ac:dyDescent="0.35"/>
  <cols>
    <col min="2" max="2" width="9.08984375" bestFit="1" customWidth="1"/>
    <col min="3" max="3" width="21.90625" bestFit="1" customWidth="1"/>
    <col min="4" max="4" width="10.7265625" bestFit="1" customWidth="1"/>
    <col min="5" max="5" width="18.26953125" bestFit="1" customWidth="1"/>
    <col min="6" max="6" width="18.54296875" bestFit="1" customWidth="1"/>
    <col min="7" max="7" width="18.6328125" bestFit="1" customWidth="1"/>
    <col min="8" max="8" width="13.81640625" bestFit="1" customWidth="1"/>
  </cols>
  <sheetData>
    <row r="2" spans="2:8" x14ac:dyDescent="0.35">
      <c r="B2" s="1" t="s">
        <v>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</row>
    <row r="3" spans="2:8" x14ac:dyDescent="0.35">
      <c r="B3" s="2">
        <v>44927</v>
      </c>
      <c r="C3" s="3">
        <v>2</v>
      </c>
      <c r="D3" s="3">
        <v>402</v>
      </c>
      <c r="E3" s="3">
        <v>6491</v>
      </c>
      <c r="F3" s="3">
        <v>6770</v>
      </c>
      <c r="G3" s="3">
        <v>7049</v>
      </c>
      <c r="H3" s="3">
        <v>54</v>
      </c>
    </row>
    <row r="4" spans="2:8" x14ac:dyDescent="0.35">
      <c r="B4" s="2">
        <v>44958</v>
      </c>
      <c r="C4" s="3"/>
      <c r="D4" s="3"/>
      <c r="E4" s="3"/>
      <c r="F4" s="3"/>
      <c r="G4" s="3"/>
      <c r="H4" s="3"/>
    </row>
    <row r="5" spans="2:8" x14ac:dyDescent="0.35">
      <c r="B5" s="2">
        <v>44986</v>
      </c>
      <c r="C5" s="3"/>
      <c r="D5" s="3"/>
      <c r="E5" s="3"/>
      <c r="F5" s="3"/>
      <c r="G5" s="3"/>
      <c r="H5" s="3"/>
    </row>
    <row r="6" spans="2:8" x14ac:dyDescent="0.35">
      <c r="B6" s="2">
        <v>45017</v>
      </c>
      <c r="C6" s="3"/>
      <c r="D6" s="3"/>
      <c r="E6" s="3"/>
      <c r="F6" s="3"/>
      <c r="G6" s="3"/>
      <c r="H6" s="3"/>
    </row>
    <row r="7" spans="2:8" x14ac:dyDescent="0.35">
      <c r="B7" s="2">
        <v>45047</v>
      </c>
      <c r="C7" s="3"/>
      <c r="D7" s="3"/>
      <c r="E7" s="3"/>
      <c r="F7" s="3"/>
      <c r="G7" s="3"/>
      <c r="H7" s="3"/>
    </row>
    <row r="8" spans="2:8" x14ac:dyDescent="0.35">
      <c r="B8" s="2">
        <v>45078</v>
      </c>
      <c r="C8" s="3"/>
      <c r="D8" s="3"/>
      <c r="E8" s="3"/>
      <c r="F8" s="3"/>
      <c r="G8" s="3"/>
      <c r="H8" s="3"/>
    </row>
    <row r="9" spans="2:8" x14ac:dyDescent="0.35">
      <c r="B9" s="2">
        <v>45108</v>
      </c>
      <c r="C9" s="3">
        <v>2</v>
      </c>
      <c r="D9" s="3">
        <v>1591</v>
      </c>
      <c r="E9" s="3">
        <v>8309</v>
      </c>
      <c r="F9" s="3">
        <v>8700</v>
      </c>
      <c r="G9" s="3">
        <v>9091</v>
      </c>
      <c r="H9" s="3">
        <v>293</v>
      </c>
    </row>
    <row r="10" spans="2:8" x14ac:dyDescent="0.35">
      <c r="B10" s="2">
        <v>45139</v>
      </c>
      <c r="C10" s="3"/>
      <c r="D10" s="3"/>
      <c r="E10" s="3"/>
      <c r="F10" s="3"/>
      <c r="G10" s="3"/>
      <c r="H10" s="3"/>
    </row>
    <row r="11" spans="2:8" x14ac:dyDescent="0.35">
      <c r="B11" s="2">
        <v>45170</v>
      </c>
      <c r="C11" s="3"/>
      <c r="D11" s="3"/>
      <c r="E11" s="3"/>
      <c r="F11" s="3"/>
      <c r="G11" s="3"/>
      <c r="H11" s="3"/>
    </row>
    <row r="12" spans="2:8" x14ac:dyDescent="0.35">
      <c r="B12" s="2">
        <v>45200</v>
      </c>
      <c r="C12" s="3"/>
      <c r="D12" s="3"/>
      <c r="E12" s="3"/>
      <c r="F12" s="3"/>
      <c r="G12" s="3"/>
      <c r="H12" s="3"/>
    </row>
    <row r="13" spans="2:8" x14ac:dyDescent="0.35">
      <c r="B13" s="2">
        <v>45231</v>
      </c>
      <c r="C13" s="3">
        <v>1</v>
      </c>
      <c r="D13" s="3">
        <v>1512</v>
      </c>
      <c r="E13" s="3">
        <v>8050</v>
      </c>
      <c r="F13" s="3">
        <v>8400</v>
      </c>
      <c r="G13" s="3">
        <v>8750</v>
      </c>
      <c r="H13" s="3">
        <v>485</v>
      </c>
    </row>
    <row r="14" spans="2:8" x14ac:dyDescent="0.35">
      <c r="B14" s="2">
        <v>45261</v>
      </c>
      <c r="C14" s="3"/>
      <c r="D14" s="3"/>
      <c r="E14" s="3"/>
      <c r="F14" s="3"/>
      <c r="G14" s="3"/>
      <c r="H14" s="3"/>
    </row>
    <row r="15" spans="2:8" x14ac:dyDescent="0.35">
      <c r="B15" s="2">
        <v>45292</v>
      </c>
      <c r="C15" s="3">
        <v>1</v>
      </c>
      <c r="D15" s="3">
        <v>349</v>
      </c>
      <c r="E15" s="3">
        <v>8050</v>
      </c>
      <c r="F15" s="3">
        <v>8400</v>
      </c>
      <c r="G15" s="3">
        <v>8750</v>
      </c>
      <c r="H15" s="3">
        <v>41</v>
      </c>
    </row>
    <row r="16" spans="2:8" x14ac:dyDescent="0.35">
      <c r="B16" s="2">
        <v>45323</v>
      </c>
      <c r="C16" s="3">
        <v>3</v>
      </c>
      <c r="D16" s="3">
        <v>1228</v>
      </c>
      <c r="E16" s="3">
        <v>8580</v>
      </c>
      <c r="F16" s="3">
        <v>8823</v>
      </c>
      <c r="G16" s="3">
        <v>9066</v>
      </c>
      <c r="H16" s="3">
        <v>269</v>
      </c>
    </row>
    <row r="17" spans="2:8" x14ac:dyDescent="0.35">
      <c r="B17" s="2">
        <v>45352</v>
      </c>
      <c r="C17" s="3"/>
      <c r="D17" s="3"/>
      <c r="E17" s="3"/>
      <c r="F17" s="3"/>
      <c r="G17" s="3"/>
      <c r="H17" s="3"/>
    </row>
    <row r="18" spans="2:8" x14ac:dyDescent="0.35">
      <c r="B18" s="2">
        <v>45383</v>
      </c>
      <c r="C18" s="3"/>
      <c r="D18" s="3"/>
      <c r="E18" s="3"/>
      <c r="F18" s="3"/>
      <c r="G18" s="3"/>
      <c r="H18" s="3"/>
    </row>
    <row r="19" spans="2:8" x14ac:dyDescent="0.35">
      <c r="B19" s="2">
        <v>45413</v>
      </c>
      <c r="C19" s="3">
        <v>1</v>
      </c>
      <c r="D19" s="3">
        <v>948</v>
      </c>
      <c r="E19" s="3">
        <v>9400</v>
      </c>
      <c r="F19" s="3">
        <v>9700</v>
      </c>
      <c r="G19" s="3">
        <v>10000</v>
      </c>
      <c r="H19" s="3">
        <v>98</v>
      </c>
    </row>
    <row r="20" spans="2:8" x14ac:dyDescent="0.35">
      <c r="B20" s="2">
        <v>45444</v>
      </c>
      <c r="C20" s="3"/>
      <c r="D20" s="3"/>
      <c r="E20" s="3"/>
      <c r="F20" s="3"/>
      <c r="G20" s="3"/>
      <c r="H20" s="3"/>
    </row>
    <row r="21" spans="2:8" x14ac:dyDescent="0.35">
      <c r="B21" s="2">
        <v>45474</v>
      </c>
      <c r="C21" s="3"/>
      <c r="D21" s="3"/>
      <c r="E21" s="3"/>
      <c r="F21" s="3"/>
      <c r="G21" s="3"/>
      <c r="H21" s="3"/>
    </row>
    <row r="22" spans="2:8" x14ac:dyDescent="0.35">
      <c r="B22" s="2">
        <v>45505</v>
      </c>
      <c r="C22" s="3">
        <v>1</v>
      </c>
      <c r="D22" s="3">
        <v>800</v>
      </c>
      <c r="E22" s="3">
        <v>9400</v>
      </c>
      <c r="F22" s="3">
        <v>9700</v>
      </c>
      <c r="G22" s="3">
        <v>10000</v>
      </c>
      <c r="H22" s="3">
        <v>58</v>
      </c>
    </row>
    <row r="23" spans="2:8" x14ac:dyDescent="0.35">
      <c r="B23" s="2">
        <v>45536</v>
      </c>
      <c r="C23" s="3"/>
      <c r="D23" s="3"/>
      <c r="E23" s="3"/>
      <c r="F23" s="3"/>
      <c r="G23" s="3"/>
      <c r="H23" s="3"/>
    </row>
    <row r="24" spans="2:8" x14ac:dyDescent="0.35">
      <c r="B24" s="2">
        <v>45566</v>
      </c>
      <c r="C24" s="3">
        <v>2</v>
      </c>
      <c r="D24" s="3">
        <v>2076</v>
      </c>
      <c r="E24" s="3">
        <v>7785</v>
      </c>
      <c r="F24" s="3">
        <v>7785</v>
      </c>
      <c r="G24" s="3">
        <v>7785</v>
      </c>
      <c r="H24" s="3">
        <v>338</v>
      </c>
    </row>
    <row r="25" spans="2:8" x14ac:dyDescent="0.35">
      <c r="B25" s="2">
        <v>45597</v>
      </c>
      <c r="C25" s="3"/>
      <c r="D25" s="3"/>
      <c r="E25" s="3"/>
      <c r="F25" s="3"/>
      <c r="G25" s="3"/>
      <c r="H25" s="3"/>
    </row>
    <row r="26" spans="2:8" x14ac:dyDescent="0.35">
      <c r="B26" s="2">
        <v>45627</v>
      </c>
      <c r="C26" s="3">
        <v>1</v>
      </c>
      <c r="D26" s="3">
        <v>581</v>
      </c>
      <c r="E26" s="3">
        <v>9400</v>
      </c>
      <c r="F26" s="3">
        <v>9895</v>
      </c>
      <c r="G26" s="3">
        <v>10390</v>
      </c>
      <c r="H26" s="3">
        <v>475</v>
      </c>
    </row>
    <row r="27" spans="2:8" x14ac:dyDescent="0.35">
      <c r="B27" s="2">
        <v>45658</v>
      </c>
      <c r="C27" s="3"/>
      <c r="D27" s="3"/>
      <c r="E27" s="3"/>
      <c r="F27" s="3"/>
      <c r="G27" s="3"/>
      <c r="H27" s="3"/>
    </row>
    <row r="28" spans="2:8" x14ac:dyDescent="0.35">
      <c r="B28" s="2">
        <v>45689</v>
      </c>
      <c r="C28" s="3"/>
      <c r="D28" s="3"/>
      <c r="E28" s="3"/>
      <c r="F28" s="3"/>
      <c r="G28" s="3"/>
      <c r="H28" s="3"/>
    </row>
    <row r="29" spans="2:8" x14ac:dyDescent="0.35">
      <c r="B29" s="2">
        <v>45717</v>
      </c>
      <c r="C29" s="3">
        <v>1</v>
      </c>
      <c r="D29" s="3">
        <v>100</v>
      </c>
      <c r="E29" s="3">
        <v>10500</v>
      </c>
      <c r="F29" s="3">
        <v>10500</v>
      </c>
      <c r="G29" s="3">
        <v>10500</v>
      </c>
      <c r="H29" s="3">
        <v>2</v>
      </c>
    </row>
    <row r="30" spans="2:8" x14ac:dyDescent="0.35">
      <c r="B30" s="2">
        <v>45748</v>
      </c>
      <c r="C30" s="3"/>
      <c r="D30" s="3"/>
      <c r="E30" s="3"/>
      <c r="F30" s="3"/>
      <c r="G30" s="3"/>
      <c r="H30" s="3"/>
    </row>
    <row r="31" spans="2:8" x14ac:dyDescent="0.35">
      <c r="B31" s="2">
        <v>45778</v>
      </c>
      <c r="C31" s="3"/>
      <c r="D31" s="3"/>
      <c r="E31" s="3"/>
      <c r="F31" s="3"/>
      <c r="G31" s="3"/>
      <c r="H31" s="3"/>
    </row>
    <row r="32" spans="2:8" x14ac:dyDescent="0.35">
      <c r="B32" s="2">
        <v>45809</v>
      </c>
      <c r="C32" s="3"/>
      <c r="D32" s="3"/>
      <c r="E32" s="3"/>
      <c r="F32" s="3"/>
      <c r="G32" s="3"/>
      <c r="H32" s="3"/>
    </row>
    <row r="33" spans="2:8" x14ac:dyDescent="0.35">
      <c r="B33" s="2">
        <v>45839</v>
      </c>
      <c r="C33" s="3"/>
      <c r="D33" s="3"/>
      <c r="E33" s="3"/>
      <c r="F33" s="3"/>
      <c r="G33" s="3"/>
      <c r="H33" s="3"/>
    </row>
    <row r="34" spans="2:8" x14ac:dyDescent="0.35">
      <c r="B34" s="2">
        <v>45870</v>
      </c>
      <c r="C34" s="3">
        <v>1</v>
      </c>
      <c r="D34" s="3">
        <v>500</v>
      </c>
      <c r="E34" s="3">
        <v>7700</v>
      </c>
      <c r="F34" s="3">
        <v>7700</v>
      </c>
      <c r="G34" s="3">
        <v>7700</v>
      </c>
      <c r="H34" s="3">
        <v>11</v>
      </c>
    </row>
    <row r="35" spans="2:8" x14ac:dyDescent="0.35">
      <c r="B35" s="2">
        <v>45901</v>
      </c>
      <c r="C35" s="3"/>
      <c r="D35" s="3"/>
      <c r="E35" s="3"/>
      <c r="F35" s="3"/>
      <c r="G35" s="3"/>
      <c r="H35" s="3"/>
    </row>
    <row r="36" spans="2:8" x14ac:dyDescent="0.35">
      <c r="B36" s="2">
        <v>45931</v>
      </c>
      <c r="C36" s="3"/>
      <c r="D36" s="3"/>
      <c r="E36" s="3"/>
      <c r="F36" s="3"/>
      <c r="G36" s="3"/>
      <c r="H36" s="3"/>
    </row>
    <row r="37" spans="2:8" x14ac:dyDescent="0.35">
      <c r="B37" s="2">
        <v>45962</v>
      </c>
      <c r="C37" s="3">
        <v>1</v>
      </c>
      <c r="D37" s="3">
        <v>196</v>
      </c>
      <c r="E37" s="3">
        <v>17285</v>
      </c>
      <c r="F37" s="3">
        <v>17285</v>
      </c>
      <c r="G37" s="3">
        <v>17285</v>
      </c>
      <c r="H37" s="3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1588-BFB3-4009-8A09-C34321BAC171}">
  <dimension ref="B2:E37"/>
  <sheetViews>
    <sheetView workbookViewId="0">
      <selection activeCell="C1" sqref="C1"/>
    </sheetView>
  </sheetViews>
  <sheetFormatPr defaultRowHeight="14.5" x14ac:dyDescent="0.35"/>
  <cols>
    <col min="1" max="1" width="9.1796875" customWidth="1"/>
    <col min="2" max="2" width="9.08984375" bestFit="1" customWidth="1"/>
    <col min="3" max="3" width="18.08984375" customWidth="1"/>
    <col min="4" max="4" width="15.81640625" customWidth="1"/>
    <col min="5" max="5" width="29.26953125" customWidth="1"/>
  </cols>
  <sheetData>
    <row r="2" spans="2:5" x14ac:dyDescent="0.35">
      <c r="B2" s="1" t="s">
        <v>0</v>
      </c>
      <c r="C2" s="1" t="s">
        <v>37</v>
      </c>
      <c r="D2" s="1" t="s">
        <v>38</v>
      </c>
      <c r="E2" s="1" t="s">
        <v>39</v>
      </c>
    </row>
    <row r="3" spans="2:5" x14ac:dyDescent="0.35">
      <c r="B3" s="2">
        <v>44927</v>
      </c>
      <c r="C3" s="3">
        <v>54</v>
      </c>
      <c r="D3" s="3">
        <v>348</v>
      </c>
      <c r="E3" s="3">
        <v>6</v>
      </c>
    </row>
    <row r="4" spans="2:5" x14ac:dyDescent="0.35">
      <c r="B4" s="2">
        <v>44958</v>
      </c>
      <c r="C4" s="3">
        <v>38</v>
      </c>
      <c r="D4" s="3">
        <v>310</v>
      </c>
      <c r="E4" s="3">
        <v>7</v>
      </c>
    </row>
    <row r="5" spans="2:5" x14ac:dyDescent="0.35">
      <c r="B5" s="2">
        <v>44986</v>
      </c>
      <c r="C5" s="3">
        <v>29</v>
      </c>
      <c r="D5" s="3">
        <v>281</v>
      </c>
      <c r="E5" s="3">
        <v>7</v>
      </c>
    </row>
    <row r="6" spans="2:5" x14ac:dyDescent="0.35">
      <c r="B6" s="2">
        <v>45017</v>
      </c>
      <c r="C6" s="3">
        <v>24</v>
      </c>
      <c r="D6" s="3">
        <v>257</v>
      </c>
      <c r="E6" s="3">
        <v>7</v>
      </c>
    </row>
    <row r="7" spans="2:5" x14ac:dyDescent="0.35">
      <c r="B7" s="2">
        <v>45047</v>
      </c>
      <c r="C7" s="3">
        <v>37</v>
      </c>
      <c r="D7" s="3">
        <v>220</v>
      </c>
      <c r="E7" s="3">
        <v>6</v>
      </c>
    </row>
    <row r="8" spans="2:5" x14ac:dyDescent="0.35">
      <c r="B8" s="2">
        <v>45078</v>
      </c>
      <c r="C8" s="3">
        <v>22</v>
      </c>
      <c r="D8" s="3">
        <v>198</v>
      </c>
      <c r="E8" s="3">
        <v>6</v>
      </c>
    </row>
    <row r="9" spans="2:5" x14ac:dyDescent="0.35">
      <c r="B9" s="2">
        <v>45108</v>
      </c>
      <c r="C9" s="3">
        <v>324</v>
      </c>
      <c r="D9" s="3">
        <v>1465</v>
      </c>
      <c r="E9" s="3">
        <v>19</v>
      </c>
    </row>
    <row r="10" spans="2:5" x14ac:dyDescent="0.35">
      <c r="B10" s="2">
        <v>45139</v>
      </c>
      <c r="C10" s="3">
        <v>424</v>
      </c>
      <c r="D10" s="3">
        <v>1041</v>
      </c>
      <c r="E10" s="3">
        <v>9</v>
      </c>
    </row>
    <row r="11" spans="2:5" x14ac:dyDescent="0.35">
      <c r="B11" s="2">
        <v>45170</v>
      </c>
      <c r="C11" s="3">
        <v>401</v>
      </c>
      <c r="D11" s="3">
        <v>640</v>
      </c>
      <c r="E11" s="3">
        <v>4</v>
      </c>
    </row>
    <row r="12" spans="2:5" x14ac:dyDescent="0.35">
      <c r="B12" s="2">
        <v>45200</v>
      </c>
      <c r="C12" s="3">
        <v>127</v>
      </c>
      <c r="D12" s="3">
        <v>513</v>
      </c>
      <c r="E12" s="3">
        <v>3</v>
      </c>
    </row>
    <row r="13" spans="2:5" x14ac:dyDescent="0.35">
      <c r="B13" s="2">
        <v>45231</v>
      </c>
      <c r="C13" s="3">
        <v>587</v>
      </c>
      <c r="D13" s="3">
        <v>1438</v>
      </c>
      <c r="E13" s="3">
        <v>8</v>
      </c>
    </row>
    <row r="14" spans="2:5" x14ac:dyDescent="0.35">
      <c r="B14" s="2">
        <v>45261</v>
      </c>
      <c r="C14" s="3">
        <v>462</v>
      </c>
      <c r="D14" s="3">
        <v>976</v>
      </c>
      <c r="E14" s="3">
        <v>5</v>
      </c>
    </row>
    <row r="15" spans="2:5" x14ac:dyDescent="0.35">
      <c r="B15" s="2">
        <v>45292</v>
      </c>
      <c r="C15" s="3">
        <v>294</v>
      </c>
      <c r="D15" s="3">
        <v>1031</v>
      </c>
      <c r="E15" s="3">
        <v>4</v>
      </c>
    </row>
    <row r="16" spans="2:5" x14ac:dyDescent="0.35">
      <c r="B16" s="2">
        <v>45323</v>
      </c>
      <c r="C16" s="3">
        <v>480</v>
      </c>
      <c r="D16" s="3">
        <v>1779</v>
      </c>
      <c r="E16" s="3">
        <v>7</v>
      </c>
    </row>
    <row r="17" spans="2:5" x14ac:dyDescent="0.35">
      <c r="B17" s="2">
        <v>45352</v>
      </c>
      <c r="C17" s="3">
        <v>286</v>
      </c>
      <c r="D17" s="3">
        <v>1493</v>
      </c>
      <c r="E17" s="3">
        <v>5</v>
      </c>
    </row>
    <row r="18" spans="2:5" x14ac:dyDescent="0.35">
      <c r="B18" s="2">
        <v>45383</v>
      </c>
      <c r="C18" s="3">
        <v>129</v>
      </c>
      <c r="D18" s="3">
        <v>1364</v>
      </c>
      <c r="E18" s="3">
        <v>5</v>
      </c>
    </row>
    <row r="19" spans="2:5" x14ac:dyDescent="0.35">
      <c r="B19" s="2">
        <v>45413</v>
      </c>
      <c r="C19" s="3">
        <v>197</v>
      </c>
      <c r="D19" s="3">
        <v>2115</v>
      </c>
      <c r="E19" s="3">
        <v>7</v>
      </c>
    </row>
    <row r="20" spans="2:5" x14ac:dyDescent="0.35">
      <c r="B20" s="2">
        <v>45444</v>
      </c>
      <c r="C20" s="3">
        <v>166</v>
      </c>
      <c r="D20" s="3">
        <v>1949</v>
      </c>
      <c r="E20" s="3">
        <v>6</v>
      </c>
    </row>
    <row r="21" spans="2:5" x14ac:dyDescent="0.35">
      <c r="B21" s="2">
        <v>45474</v>
      </c>
      <c r="C21" s="3">
        <v>134</v>
      </c>
      <c r="D21" s="3">
        <v>1815</v>
      </c>
      <c r="E21" s="3">
        <v>6</v>
      </c>
    </row>
    <row r="22" spans="2:5" x14ac:dyDescent="0.35">
      <c r="B22" s="2">
        <v>45505</v>
      </c>
      <c r="C22" s="3">
        <v>193</v>
      </c>
      <c r="D22" s="3">
        <v>2422</v>
      </c>
      <c r="E22" s="3">
        <v>8</v>
      </c>
    </row>
    <row r="23" spans="2:5" x14ac:dyDescent="0.35">
      <c r="B23" s="2">
        <v>45536</v>
      </c>
      <c r="C23" s="3">
        <v>194</v>
      </c>
      <c r="D23" s="3">
        <v>2228</v>
      </c>
      <c r="E23" s="3">
        <v>8</v>
      </c>
    </row>
    <row r="24" spans="2:5" x14ac:dyDescent="0.35">
      <c r="B24" s="2">
        <v>45566</v>
      </c>
      <c r="C24" s="3">
        <v>475</v>
      </c>
      <c r="D24" s="3">
        <v>3829</v>
      </c>
      <c r="E24" s="3">
        <v>13</v>
      </c>
    </row>
    <row r="25" spans="2:5" x14ac:dyDescent="0.35">
      <c r="B25" s="2">
        <v>45597</v>
      </c>
      <c r="C25" s="3">
        <v>400</v>
      </c>
      <c r="D25" s="3">
        <v>3429</v>
      </c>
      <c r="E25" s="3">
        <v>12</v>
      </c>
    </row>
    <row r="26" spans="2:5" x14ac:dyDescent="0.35">
      <c r="B26" s="2">
        <v>45627</v>
      </c>
      <c r="C26" s="3">
        <v>766</v>
      </c>
      <c r="D26" s="3">
        <v>3244</v>
      </c>
      <c r="E26" s="3">
        <v>10</v>
      </c>
    </row>
    <row r="27" spans="2:5" x14ac:dyDescent="0.35">
      <c r="B27" s="2">
        <v>45658</v>
      </c>
      <c r="C27" s="3">
        <v>336</v>
      </c>
      <c r="D27" s="3">
        <v>2908</v>
      </c>
      <c r="E27" s="3">
        <v>9</v>
      </c>
    </row>
    <row r="28" spans="2:5" x14ac:dyDescent="0.35">
      <c r="B28" s="2">
        <v>45689</v>
      </c>
      <c r="C28" s="3">
        <v>306</v>
      </c>
      <c r="D28" s="3">
        <v>2602</v>
      </c>
      <c r="E28" s="3">
        <v>9</v>
      </c>
    </row>
    <row r="29" spans="2:5" x14ac:dyDescent="0.35">
      <c r="B29" s="2">
        <v>45717</v>
      </c>
      <c r="C29" s="3">
        <v>269</v>
      </c>
      <c r="D29" s="3">
        <v>2433</v>
      </c>
      <c r="E29" s="3">
        <v>8</v>
      </c>
    </row>
    <row r="30" spans="2:5" x14ac:dyDescent="0.35">
      <c r="B30" s="2">
        <v>45748</v>
      </c>
      <c r="C30" s="3">
        <v>236</v>
      </c>
      <c r="D30" s="3">
        <v>2197</v>
      </c>
      <c r="E30" s="3">
        <v>7</v>
      </c>
    </row>
    <row r="31" spans="2:5" x14ac:dyDescent="0.35">
      <c r="B31" s="2">
        <v>45778</v>
      </c>
      <c r="C31" s="3">
        <v>196</v>
      </c>
      <c r="D31" s="3">
        <v>2001</v>
      </c>
      <c r="E31" s="3">
        <v>7</v>
      </c>
    </row>
    <row r="32" spans="2:5" x14ac:dyDescent="0.35">
      <c r="B32" s="2">
        <v>45809</v>
      </c>
      <c r="C32" s="3">
        <v>180</v>
      </c>
      <c r="D32" s="3">
        <v>1821</v>
      </c>
      <c r="E32" s="3">
        <v>6</v>
      </c>
    </row>
    <row r="33" spans="2:5" x14ac:dyDescent="0.35">
      <c r="B33" s="2">
        <v>45839</v>
      </c>
      <c r="C33" s="3">
        <v>215</v>
      </c>
      <c r="D33" s="3">
        <v>1606</v>
      </c>
      <c r="E33" s="3">
        <v>5</v>
      </c>
    </row>
    <row r="34" spans="2:5" x14ac:dyDescent="0.35">
      <c r="B34" s="2">
        <v>45870</v>
      </c>
      <c r="C34" s="3">
        <v>217</v>
      </c>
      <c r="D34" s="3">
        <v>1889</v>
      </c>
      <c r="E34" s="3">
        <v>6</v>
      </c>
    </row>
    <row r="35" spans="2:5" x14ac:dyDescent="0.35">
      <c r="B35" s="2">
        <v>45901</v>
      </c>
      <c r="C35" s="3">
        <v>143</v>
      </c>
      <c r="D35" s="3">
        <v>1746</v>
      </c>
      <c r="E35" s="3">
        <v>6</v>
      </c>
    </row>
    <row r="36" spans="2:5" x14ac:dyDescent="0.35">
      <c r="B36" s="2">
        <v>45931</v>
      </c>
      <c r="C36" s="3">
        <v>77</v>
      </c>
      <c r="D36" s="3">
        <v>1669</v>
      </c>
      <c r="E36" s="3">
        <v>6</v>
      </c>
    </row>
    <row r="37" spans="2:5" x14ac:dyDescent="0.35">
      <c r="B37" s="2">
        <v>45962</v>
      </c>
      <c r="C37" s="3">
        <v>124</v>
      </c>
      <c r="D37" s="3">
        <v>1741</v>
      </c>
      <c r="E37" s="3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E554-68D0-4F3E-ADB1-0739744EAD66}">
  <dimension ref="B2:O3"/>
  <sheetViews>
    <sheetView workbookViewId="0">
      <selection activeCell="B2" sqref="B2"/>
    </sheetView>
  </sheetViews>
  <sheetFormatPr defaultRowHeight="14.5" x14ac:dyDescent="0.35"/>
  <cols>
    <col min="1" max="1" width="9.1796875" customWidth="1"/>
    <col min="2" max="2" width="18.26953125" customWidth="1"/>
    <col min="3" max="15" width="10.08984375" customWidth="1"/>
  </cols>
  <sheetData>
    <row r="2" spans="2:15" x14ac:dyDescent="0.35">
      <c r="B2" s="1" t="s">
        <v>40</v>
      </c>
      <c r="C2" s="1" t="s">
        <v>41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</row>
    <row r="3" spans="2:15" x14ac:dyDescent="0.35">
      <c r="B3" s="3" t="s">
        <v>42</v>
      </c>
      <c r="C3" s="3"/>
      <c r="D3" s="3"/>
      <c r="E3" s="3">
        <v>281</v>
      </c>
      <c r="F3" s="3">
        <v>198</v>
      </c>
      <c r="G3" s="3">
        <v>640</v>
      </c>
      <c r="H3" s="3">
        <v>976</v>
      </c>
      <c r="I3" s="3">
        <v>1493</v>
      </c>
      <c r="J3" s="3">
        <v>1949</v>
      </c>
      <c r="K3" s="3">
        <v>2228</v>
      </c>
      <c r="L3" s="3">
        <v>3244</v>
      </c>
      <c r="M3" s="3">
        <v>2433</v>
      </c>
      <c r="N3" s="3">
        <v>1821</v>
      </c>
      <c r="O3" s="3">
        <v>1746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F195-4573-47B1-A264-2293BE52B13E}">
  <dimension ref="B2:M14"/>
  <sheetViews>
    <sheetView workbookViewId="0"/>
  </sheetViews>
  <sheetFormatPr defaultRowHeight="14.5" x14ac:dyDescent="0.35"/>
  <cols>
    <col min="1" max="1" width="9.1796875" customWidth="1"/>
    <col min="2" max="2" width="10.08984375" customWidth="1"/>
    <col min="3" max="3" width="8" customWidth="1"/>
    <col min="4" max="8" width="11.7265625" customWidth="1"/>
    <col min="9" max="9" width="12.7265625" customWidth="1"/>
    <col min="10" max="11" width="13.7265625" customWidth="1"/>
    <col min="12" max="12" width="9" customWidth="1"/>
    <col min="13" max="13" width="7.26953125" customWidth="1"/>
  </cols>
  <sheetData>
    <row r="2" spans="2:13" x14ac:dyDescent="0.35">
      <c r="B2" s="1" t="s">
        <v>0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4</v>
      </c>
    </row>
    <row r="3" spans="2:13" x14ac:dyDescent="0.35">
      <c r="B3" s="3" t="s">
        <v>19</v>
      </c>
      <c r="C3" s="3">
        <v>24</v>
      </c>
      <c r="D3" s="3">
        <v>42</v>
      </c>
      <c r="E3" s="3">
        <v>55</v>
      </c>
      <c r="F3" s="3"/>
      <c r="G3" s="3"/>
      <c r="H3" s="3"/>
      <c r="I3" s="3"/>
      <c r="J3" s="3"/>
      <c r="K3" s="3"/>
      <c r="L3" s="3"/>
      <c r="M3" s="3">
        <v>121</v>
      </c>
    </row>
    <row r="4" spans="2:13" x14ac:dyDescent="0.35">
      <c r="B4" s="3" t="s">
        <v>20</v>
      </c>
      <c r="C4" s="3">
        <v>12</v>
      </c>
      <c r="D4" s="3"/>
      <c r="E4" s="3">
        <v>71</v>
      </c>
      <c r="F4" s="3"/>
      <c r="G4" s="3"/>
      <c r="H4" s="3"/>
      <c r="I4" s="3"/>
      <c r="J4" s="3"/>
      <c r="K4" s="3"/>
      <c r="L4" s="3"/>
      <c r="M4" s="3">
        <v>83</v>
      </c>
    </row>
    <row r="5" spans="2:13" x14ac:dyDescent="0.35">
      <c r="B5" s="3" t="s">
        <v>21</v>
      </c>
      <c r="C5" s="3">
        <v>20</v>
      </c>
      <c r="D5" s="3"/>
      <c r="E5" s="3">
        <v>269</v>
      </c>
      <c r="F5" s="3">
        <v>860</v>
      </c>
      <c r="G5" s="3"/>
      <c r="H5" s="3"/>
      <c r="I5" s="3"/>
      <c r="J5" s="3"/>
      <c r="K5" s="3"/>
      <c r="L5" s="3"/>
      <c r="M5" s="3">
        <v>1149</v>
      </c>
    </row>
    <row r="6" spans="2:13" x14ac:dyDescent="0.35">
      <c r="B6" s="3" t="s">
        <v>22</v>
      </c>
      <c r="C6" s="3">
        <v>20</v>
      </c>
      <c r="D6" s="3"/>
      <c r="E6" s="3"/>
      <c r="F6" s="3">
        <v>266</v>
      </c>
      <c r="G6" s="3">
        <v>890</v>
      </c>
      <c r="H6" s="3"/>
      <c r="I6" s="3"/>
      <c r="J6" s="3"/>
      <c r="K6" s="3"/>
      <c r="L6" s="3"/>
      <c r="M6" s="3">
        <v>1176</v>
      </c>
    </row>
    <row r="7" spans="2:13" x14ac:dyDescent="0.35">
      <c r="B7" s="3" t="s">
        <v>23</v>
      </c>
      <c r="C7" s="3">
        <v>24</v>
      </c>
      <c r="D7" s="3"/>
      <c r="E7" s="3"/>
      <c r="F7" s="3">
        <v>143</v>
      </c>
      <c r="G7" s="3">
        <v>532</v>
      </c>
      <c r="H7" s="3">
        <v>361</v>
      </c>
      <c r="I7" s="3"/>
      <c r="J7" s="3"/>
      <c r="K7" s="3"/>
      <c r="L7" s="3"/>
      <c r="M7" s="3">
        <v>1060</v>
      </c>
    </row>
    <row r="8" spans="2:13" x14ac:dyDescent="0.35">
      <c r="B8" s="3" t="s">
        <v>24</v>
      </c>
      <c r="C8" s="3">
        <v>27</v>
      </c>
      <c r="D8" s="3"/>
      <c r="E8" s="3"/>
      <c r="F8" s="3"/>
      <c r="G8" s="3">
        <v>182</v>
      </c>
      <c r="H8" s="3">
        <v>283</v>
      </c>
      <c r="I8" s="3"/>
      <c r="J8" s="3"/>
      <c r="K8" s="3"/>
      <c r="L8" s="3"/>
      <c r="M8" s="3">
        <v>492</v>
      </c>
    </row>
    <row r="9" spans="2:13" x14ac:dyDescent="0.35">
      <c r="B9" s="3" t="s">
        <v>25</v>
      </c>
      <c r="C9" s="3">
        <v>17</v>
      </c>
      <c r="D9" s="3"/>
      <c r="E9" s="3"/>
      <c r="F9" s="3"/>
      <c r="G9" s="3">
        <v>47</v>
      </c>
      <c r="H9" s="3">
        <v>329</v>
      </c>
      <c r="I9" s="3">
        <v>128</v>
      </c>
      <c r="J9" s="3"/>
      <c r="K9" s="3"/>
      <c r="L9" s="3"/>
      <c r="M9" s="3">
        <v>521</v>
      </c>
    </row>
    <row r="10" spans="2:13" x14ac:dyDescent="0.35">
      <c r="B10" s="3" t="s">
        <v>26</v>
      </c>
      <c r="C10" s="3">
        <v>7</v>
      </c>
      <c r="D10" s="3"/>
      <c r="E10" s="3"/>
      <c r="F10" s="3"/>
      <c r="G10" s="3">
        <v>807</v>
      </c>
      <c r="H10" s="3">
        <v>667</v>
      </c>
      <c r="I10" s="3">
        <v>160</v>
      </c>
      <c r="J10" s="3"/>
      <c r="K10" s="3"/>
      <c r="L10" s="3"/>
      <c r="M10" s="3">
        <v>1641</v>
      </c>
    </row>
    <row r="11" spans="2:13" x14ac:dyDescent="0.35">
      <c r="B11" s="3" t="s">
        <v>27</v>
      </c>
      <c r="C11" s="3"/>
      <c r="D11" s="3"/>
      <c r="E11" s="3"/>
      <c r="F11" s="3"/>
      <c r="G11" s="3">
        <v>355</v>
      </c>
      <c r="H11" s="3">
        <v>186</v>
      </c>
      <c r="I11" s="3">
        <v>368</v>
      </c>
      <c r="J11" s="3">
        <v>2</v>
      </c>
      <c r="K11" s="3"/>
      <c r="L11" s="3"/>
      <c r="M11" s="3">
        <v>911</v>
      </c>
    </row>
    <row r="12" spans="2:13" x14ac:dyDescent="0.35">
      <c r="B12" s="3" t="s">
        <v>28</v>
      </c>
      <c r="C12" s="3"/>
      <c r="D12" s="3"/>
      <c r="E12" s="3"/>
      <c r="F12" s="3"/>
      <c r="G12" s="3">
        <v>157</v>
      </c>
      <c r="H12" s="3">
        <v>100</v>
      </c>
      <c r="I12" s="3">
        <v>350</v>
      </c>
      <c r="J12" s="3">
        <v>5</v>
      </c>
      <c r="K12" s="3"/>
      <c r="L12" s="3"/>
      <c r="M12" s="3">
        <v>612</v>
      </c>
    </row>
    <row r="13" spans="2:13" x14ac:dyDescent="0.35">
      <c r="B13" s="3" t="s">
        <v>29</v>
      </c>
      <c r="C13" s="3"/>
      <c r="D13" s="3"/>
      <c r="E13" s="3"/>
      <c r="F13" s="3"/>
      <c r="G13" s="3">
        <v>86</v>
      </c>
      <c r="H13" s="3">
        <v>126</v>
      </c>
      <c r="I13" s="3">
        <v>358</v>
      </c>
      <c r="J13" s="3">
        <v>5</v>
      </c>
      <c r="K13" s="3"/>
      <c r="L13" s="3"/>
      <c r="M13" s="3">
        <v>575</v>
      </c>
    </row>
    <row r="14" spans="2:13" x14ac:dyDescent="0.35">
      <c r="B14" s="3" t="s">
        <v>30</v>
      </c>
      <c r="C14" s="3"/>
      <c r="D14" s="3"/>
      <c r="E14" s="3"/>
      <c r="F14" s="3"/>
      <c r="G14" s="3">
        <v>78</v>
      </c>
      <c r="H14" s="3">
        <v>76</v>
      </c>
      <c r="I14" s="3">
        <v>20</v>
      </c>
      <c r="J14" s="3">
        <v>5</v>
      </c>
      <c r="K14" s="3"/>
      <c r="L14" s="3">
        <v>22</v>
      </c>
      <c r="M14" s="3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9C74-E6D9-4303-BED0-77A06F06534D}">
  <dimension ref="A1:N2"/>
  <sheetViews>
    <sheetView workbookViewId="0"/>
  </sheetViews>
  <sheetFormatPr defaultRowHeight="14.5" x14ac:dyDescent="0.35"/>
  <sheetData>
    <row r="1" spans="1:14" x14ac:dyDescent="0.35">
      <c r="A1" s="1" t="s">
        <v>40</v>
      </c>
      <c r="B1" s="1" t="s">
        <v>41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 x14ac:dyDescent="0.35">
      <c r="A2" s="3" t="s">
        <v>42</v>
      </c>
      <c r="B2" s="3"/>
      <c r="C2" s="3">
        <v>4424.67</v>
      </c>
      <c r="D2" s="3"/>
      <c r="E2" s="3">
        <v>5850.85</v>
      </c>
      <c r="F2" s="3">
        <v>7537</v>
      </c>
      <c r="G2" s="3">
        <v>7972.06</v>
      </c>
      <c r="H2" s="3">
        <v>8860</v>
      </c>
      <c r="I2" s="3">
        <v>9345</v>
      </c>
      <c r="J2" s="3">
        <v>7739.78</v>
      </c>
      <c r="K2" s="3">
        <v>10500</v>
      </c>
      <c r="L2" s="3"/>
      <c r="M2" s="3">
        <v>7700</v>
      </c>
      <c r="N2" s="3">
        <v>17285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72EA-9ECE-46CA-9AEF-44C2AD2A97C1}">
  <dimension ref="B2:H14"/>
  <sheetViews>
    <sheetView workbookViewId="0">
      <selection activeCell="C8" sqref="C8"/>
    </sheetView>
  </sheetViews>
  <sheetFormatPr defaultRowHeight="14.5" x14ac:dyDescent="0.35"/>
  <cols>
    <col min="1" max="1" width="9.1796875" customWidth="1"/>
    <col min="2" max="2" width="9.08984375" bestFit="1" customWidth="1"/>
    <col min="3" max="3" width="15.54296875" customWidth="1"/>
    <col min="4" max="4" width="19.36328125" customWidth="1"/>
    <col min="5" max="5" width="24.26953125" customWidth="1"/>
    <col min="6" max="6" width="26.08984375" customWidth="1"/>
    <col min="7" max="7" width="30" customWidth="1"/>
    <col min="8" max="8" width="30.08984375" customWidth="1"/>
  </cols>
  <sheetData>
    <row r="2" spans="2:8" x14ac:dyDescent="0.35">
      <c r="B2" s="1" t="s">
        <v>0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2:8" x14ac:dyDescent="0.35">
      <c r="B3" s="2">
        <v>44927</v>
      </c>
      <c r="C3" s="3">
        <v>402</v>
      </c>
      <c r="D3" s="3">
        <v>401</v>
      </c>
      <c r="E3" s="3">
        <v>1</v>
      </c>
      <c r="F3" s="3">
        <v>402</v>
      </c>
      <c r="G3" s="3">
        <v>401</v>
      </c>
      <c r="H3" s="3">
        <v>1</v>
      </c>
    </row>
    <row r="4" spans="2:8" x14ac:dyDescent="0.35">
      <c r="B4" s="2">
        <v>45108</v>
      </c>
      <c r="C4" s="3">
        <v>1591</v>
      </c>
      <c r="D4" s="3">
        <v>1555</v>
      </c>
      <c r="E4" s="3">
        <v>36</v>
      </c>
      <c r="F4" s="3">
        <v>1993</v>
      </c>
      <c r="G4" s="3">
        <v>1956</v>
      </c>
      <c r="H4" s="3">
        <v>37</v>
      </c>
    </row>
    <row r="5" spans="2:8" x14ac:dyDescent="0.35">
      <c r="B5" s="2">
        <v>45231</v>
      </c>
      <c r="C5" s="3">
        <v>1512</v>
      </c>
      <c r="D5" s="3">
        <v>1452</v>
      </c>
      <c r="E5" s="3">
        <v>60</v>
      </c>
      <c r="F5" s="3">
        <v>3505</v>
      </c>
      <c r="G5" s="3">
        <v>3408</v>
      </c>
      <c r="H5" s="3">
        <v>97</v>
      </c>
    </row>
    <row r="6" spans="2:8" x14ac:dyDescent="0.35">
      <c r="B6" s="2">
        <v>45292</v>
      </c>
      <c r="C6" s="3">
        <v>349</v>
      </c>
      <c r="D6" s="3">
        <v>225</v>
      </c>
      <c r="E6" s="3">
        <v>124</v>
      </c>
      <c r="F6" s="3">
        <v>3854</v>
      </c>
      <c r="G6" s="3">
        <v>3633</v>
      </c>
      <c r="H6" s="3">
        <v>221</v>
      </c>
    </row>
    <row r="7" spans="2:8" x14ac:dyDescent="0.35">
      <c r="B7" s="2">
        <v>45323</v>
      </c>
      <c r="C7" s="3">
        <v>1228</v>
      </c>
      <c r="D7" s="3">
        <v>997</v>
      </c>
      <c r="E7" s="3">
        <v>231</v>
      </c>
      <c r="F7" s="3">
        <v>5082</v>
      </c>
      <c r="G7" s="3">
        <v>4630</v>
      </c>
      <c r="H7" s="3">
        <v>452</v>
      </c>
    </row>
    <row r="8" spans="2:8" x14ac:dyDescent="0.35">
      <c r="B8" s="2">
        <v>45413</v>
      </c>
      <c r="C8" s="3">
        <v>948</v>
      </c>
      <c r="D8" s="3">
        <v>948</v>
      </c>
      <c r="E8" s="3"/>
      <c r="F8" s="3">
        <v>6030</v>
      </c>
      <c r="G8" s="3">
        <v>5578</v>
      </c>
      <c r="H8" s="3">
        <v>452</v>
      </c>
    </row>
    <row r="9" spans="2:8" x14ac:dyDescent="0.35">
      <c r="B9" s="2">
        <v>45505</v>
      </c>
      <c r="C9" s="3">
        <v>800</v>
      </c>
      <c r="D9" s="3">
        <v>800</v>
      </c>
      <c r="E9" s="3"/>
      <c r="F9" s="3">
        <v>6830</v>
      </c>
      <c r="G9" s="3">
        <v>6378</v>
      </c>
      <c r="H9" s="3">
        <v>452</v>
      </c>
    </row>
    <row r="10" spans="2:8" x14ac:dyDescent="0.35">
      <c r="B10" s="2">
        <v>45566</v>
      </c>
      <c r="C10" s="3">
        <v>2076</v>
      </c>
      <c r="D10" s="3">
        <v>1516</v>
      </c>
      <c r="E10" s="3">
        <v>560</v>
      </c>
      <c r="F10" s="3">
        <v>8906</v>
      </c>
      <c r="G10" s="3">
        <v>7894</v>
      </c>
      <c r="H10" s="3">
        <v>1012</v>
      </c>
    </row>
    <row r="11" spans="2:8" x14ac:dyDescent="0.35">
      <c r="B11" s="2">
        <v>45627</v>
      </c>
      <c r="C11" s="3">
        <v>581</v>
      </c>
      <c r="D11" s="3">
        <v>576</v>
      </c>
      <c r="E11" s="3">
        <v>5</v>
      </c>
      <c r="F11" s="3">
        <v>9487</v>
      </c>
      <c r="G11" s="3">
        <v>8470</v>
      </c>
      <c r="H11" s="3">
        <v>1017</v>
      </c>
    </row>
    <row r="12" spans="2:8" x14ac:dyDescent="0.35">
      <c r="B12" s="2">
        <v>45717</v>
      </c>
      <c r="C12" s="3">
        <v>100</v>
      </c>
      <c r="D12" s="3">
        <v>17</v>
      </c>
      <c r="E12" s="3">
        <v>83</v>
      </c>
      <c r="F12" s="3">
        <v>9587</v>
      </c>
      <c r="G12" s="3">
        <v>8487</v>
      </c>
      <c r="H12" s="3">
        <v>1100</v>
      </c>
    </row>
    <row r="13" spans="2:8" x14ac:dyDescent="0.35">
      <c r="B13" s="2">
        <v>45870</v>
      </c>
      <c r="C13" s="3">
        <v>500</v>
      </c>
      <c r="D13" s="3">
        <v>33</v>
      </c>
      <c r="E13" s="3">
        <v>467</v>
      </c>
      <c r="F13" s="3">
        <v>10087</v>
      </c>
      <c r="G13" s="3">
        <v>8520</v>
      </c>
      <c r="H13" s="3">
        <v>1567</v>
      </c>
    </row>
    <row r="14" spans="2:8" x14ac:dyDescent="0.35">
      <c r="B14" s="2">
        <v>45962</v>
      </c>
      <c r="C14" s="3">
        <v>196</v>
      </c>
      <c r="D14" s="3">
        <v>22</v>
      </c>
      <c r="E14" s="3">
        <v>174</v>
      </c>
      <c r="F14" s="3">
        <v>10283</v>
      </c>
      <c r="G14" s="3">
        <v>8542</v>
      </c>
      <c r="H14" s="3">
        <v>1741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E6C582074D547A4874D7141203322" ma:contentTypeVersion="14" ma:contentTypeDescription="Create a new document." ma:contentTypeScope="" ma:versionID="c9f87dd71fd64be0e504e9749537c9a1">
  <xsd:schema xmlns:xsd="http://www.w3.org/2001/XMLSchema" xmlns:xs="http://www.w3.org/2001/XMLSchema" xmlns:p="http://schemas.microsoft.com/office/2006/metadata/properties" xmlns:ns2="4ba8833a-5f71-44ca-8fb8-016863758723" xmlns:ns3="a72ea91b-3d20-4638-ba6f-80bbff246548" targetNamespace="http://schemas.microsoft.com/office/2006/metadata/properties" ma:root="true" ma:fieldsID="c156212115cbcdbe6ca39b82adabd4b2" ns2:_="" ns3:_="">
    <xsd:import namespace="4ba8833a-5f71-44ca-8fb8-016863758723"/>
    <xsd:import namespace="a72ea91b-3d20-4638-ba6f-80bbff246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8833a-5f71-44ca-8fb8-016863758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954728-2fcf-4610-916d-6ec5a49df3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ea91b-3d20-4638-ba6f-80bbff2465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ab61ff-8204-478c-8156-7c5928506898}" ma:internalName="TaxCatchAll" ma:showField="CatchAllData" ma:web="a72ea91b-3d20-4638-ba6f-80bbff246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a8833a-5f71-44ca-8fb8-016863758723">
      <Terms xmlns="http://schemas.microsoft.com/office/infopath/2007/PartnerControls"/>
    </lcf76f155ced4ddcb4097134ff3c332f>
    <TaxCatchAll xmlns="a72ea91b-3d20-4638-ba6f-80bbff2465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BB63B9-F88B-4FF5-919B-5EA71B1793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a8833a-5f71-44ca-8fb8-016863758723"/>
    <ds:schemaRef ds:uri="a72ea91b-3d20-4638-ba6f-80bbff246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CCE85B-C0F4-48CE-A8EC-EDF9D57B6A02}">
  <ds:schemaRefs>
    <ds:schemaRef ds:uri="http://schemas.microsoft.com/office/2006/metadata/properties"/>
    <ds:schemaRef ds:uri="http://schemas.microsoft.com/office/infopath/2007/PartnerControls"/>
    <ds:schemaRef ds:uri="4ba8833a-5f71-44ca-8fb8-016863758723"/>
    <ds:schemaRef ds:uri="a72ea91b-3d20-4638-ba6f-80bbff246548"/>
  </ds:schemaRefs>
</ds:datastoreItem>
</file>

<file path=customXml/itemProps3.xml><?xml version="1.0" encoding="utf-8"?>
<ds:datastoreItem xmlns:ds="http://schemas.openxmlformats.org/officeDocument/2006/customXml" ds:itemID="{FA989A4A-E4C7-4150-941B-5F98B32F02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 - Bagaluru</vt:lpstr>
      <vt:lpstr>Projects List</vt:lpstr>
      <vt:lpstr>Productwise Supply</vt:lpstr>
      <vt:lpstr>Productwise Supply &amp; Absorption</vt:lpstr>
      <vt:lpstr>Weighted Avg Price Trend</vt:lpstr>
      <vt:lpstr>New Launch Data</vt:lpstr>
      <vt:lpstr>Inventory Trend</vt:lpstr>
      <vt:lpstr>Micro Market Supply &amp; Absorptio</vt:lpstr>
      <vt:lpstr>Absorption Break-up</vt:lpstr>
      <vt:lpstr>Micro Market Wt Avg Price Trend</vt:lpstr>
      <vt:lpstr>Cumulative Supply &amp; Absorption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Vignesh J</cp:lastModifiedBy>
  <dcterms:created xsi:type="dcterms:W3CDTF">2025-12-29T09:59:06Z</dcterms:created>
  <dcterms:modified xsi:type="dcterms:W3CDTF">2025-12-29T10:21:05Z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0x010100DF7E6C582074D547A4874D7141203322</vt:lpwstr>
  </property>
  <property fmtid="{D5CDD505-2E9C-101B-9397-08002B2CF9AE}" pid="3" name="MediaServiceImageTags">
    <vt:lpwstr/>
  </property>
</Properties>
</file>